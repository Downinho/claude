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sumo" sheetId="2" state="visible" r:id="rId2"/>
    <sheet name="Como usar" sheetId="3" state="visible" r:id="rId3"/>
  </sheets>
  <definedNames>
    <definedName name="_xlnm._FilterDatabase" localSheetId="0" hidden="1">'Leads'!$A$1:$U$92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F5FBF"/>
      <u val="single"/>
    </font>
    <font>
      <b val="1"/>
      <color rgb="000F1B2D"/>
      <sz val="16"/>
    </font>
    <font>
      <b val="1"/>
      <color rgb="000F1B2D"/>
      <sz val="13"/>
    </font>
  </fonts>
  <fills count="3">
    <fill>
      <patternFill/>
    </fill>
    <fill>
      <patternFill patternType="gray125"/>
    </fill>
    <fill>
      <patternFill patternType="solid">
        <fgColor rgb="000F1B2D"/>
      </patternFill>
    </fill>
  </fills>
  <borders count="2">
    <border>
      <left/>
      <right/>
      <top/>
      <bottom/>
      <diagonal/>
    </border>
    <border>
      <bottom style="thin">
        <color rgb="00E6E6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3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1E6B3A"/>
      </font>
      <fill>
        <patternFill patternType="solid">
          <fgColor rgb="00D9F2E3"/>
        </patternFill>
      </fill>
    </dxf>
    <dxf>
      <fill>
        <patternFill patternType="solid">
          <fgColor rgb="00D9F2E3"/>
        </patternFill>
      </fill>
    </dxf>
    <dxf>
      <fill>
        <patternFill patternType="solid">
          <fgColor rgb="00C6EFCE"/>
        </patternFill>
      </fill>
    </dxf>
    <dxf>
      <font>
        <color rgb="00999999"/>
      </font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stagram.com/odonto8.tatuape" TargetMode="External" Id="rId1" /><Relationship Type="http://schemas.openxmlformats.org/officeDocument/2006/relationships/hyperlink" Target="https://downway.com.br/demo/odonto8-tatuape/" TargetMode="External" Id="rId2" /><Relationship Type="http://schemas.openxmlformats.org/officeDocument/2006/relationships/hyperlink" Target="https://instagram.com/anaricarteadvogada" TargetMode="External" Id="rId3" /><Relationship Type="http://schemas.openxmlformats.org/officeDocument/2006/relationships/hyperlink" Target="https://downway.com.br/demo/anaricarteadvogada/" TargetMode="External" Id="rId4" /><Relationship Type="http://schemas.openxmlformats.org/officeDocument/2006/relationships/hyperlink" Target="https://instagram.com/andreiapereira.adv" TargetMode="External" Id="rId5" /><Relationship Type="http://schemas.openxmlformats.org/officeDocument/2006/relationships/hyperlink" Target="https://downway.com.br/demo/andreiapereira-adv/" TargetMode="External" Id="rId6" /><Relationship Type="http://schemas.openxmlformats.org/officeDocument/2006/relationships/hyperlink" Target="https://instagram.com/baferreiraadv" TargetMode="External" Id="rId7" /><Relationship Type="http://schemas.openxmlformats.org/officeDocument/2006/relationships/hyperlink" Target="https://downway.com.br/demo/baferreiraadv/" TargetMode="External" Id="rId8" /><Relationship Type="http://schemas.openxmlformats.org/officeDocument/2006/relationships/hyperlink" Target="https://instagram.com/caiodeluccas.adv" TargetMode="External" Id="rId9" /><Relationship Type="http://schemas.openxmlformats.org/officeDocument/2006/relationships/hyperlink" Target="https://downway.com.br/demo/caiodeluccas-adv/" TargetMode="External" Id="rId10" /><Relationship Type="http://schemas.openxmlformats.org/officeDocument/2006/relationships/hyperlink" Target="https://instagram.com/jonasfigueiredoadv" TargetMode="External" Id="rId11" /><Relationship Type="http://schemas.openxmlformats.org/officeDocument/2006/relationships/hyperlink" Target="https://downway.com.br/demo/jonasfigueiredoadv/" TargetMode="External" Id="rId12" /><Relationship Type="http://schemas.openxmlformats.org/officeDocument/2006/relationships/hyperlink" Target="https://instagram.com/direitodefamiliaesucessoes" TargetMode="External" Id="rId13" /><Relationship Type="http://schemas.openxmlformats.org/officeDocument/2006/relationships/hyperlink" Target="https://downway.com.br/demo/direitodefamiliaesucessoes/" TargetMode="External" Id="rId14" /><Relationship Type="http://schemas.openxmlformats.org/officeDocument/2006/relationships/hyperlink" Target="https://instagram.com/marianaregisadvogada" TargetMode="External" Id="rId15" /><Relationship Type="http://schemas.openxmlformats.org/officeDocument/2006/relationships/hyperlink" Target="https://downway.com.br/demo/marianaregisadvogada/" TargetMode="External" Id="rId16" /><Relationship Type="http://schemas.openxmlformats.org/officeDocument/2006/relationships/hyperlink" Target="https://instagram.com/suzanadeamorim" TargetMode="External" Id="rId17" /><Relationship Type="http://schemas.openxmlformats.org/officeDocument/2006/relationships/hyperlink" Target="https://downway.com.br/demo/suzanadeamorim/" TargetMode="External" Id="rId18" /><Relationship Type="http://schemas.openxmlformats.org/officeDocument/2006/relationships/hyperlink" Target="https://instagram.com/vanessaleite_adv" TargetMode="External" Id="rId19" /><Relationship Type="http://schemas.openxmlformats.org/officeDocument/2006/relationships/hyperlink" Target="https://downway.com.br/demo/vanessaleite-adv/" TargetMode="External" Id="rId20" /><Relationship Type="http://schemas.openxmlformats.org/officeDocument/2006/relationships/hyperlink" Target="https://instagram.com/advvictortosta" TargetMode="External" Id="rId21" /><Relationship Type="http://schemas.openxmlformats.org/officeDocument/2006/relationships/hyperlink" Target="https://downway.com.br/demo/advvictortosta/" TargetMode="External" Id="rId22" /><Relationship Type="http://schemas.openxmlformats.org/officeDocument/2006/relationships/hyperlink" Target="https://instagram.com/prezodonto" TargetMode="External" Id="rId23" /><Relationship Type="http://schemas.openxmlformats.org/officeDocument/2006/relationships/hyperlink" Target="https://downway.com.br/demo/prezodonto/" TargetMode="External" Id="rId24" /><Relationship Type="http://schemas.openxmlformats.org/officeDocument/2006/relationships/hyperlink" Target="https://instagram.com/drlucastrindade" TargetMode="External" Id="rId25" /><Relationship Type="http://schemas.openxmlformats.org/officeDocument/2006/relationships/hyperlink" Target="https://downway.com.br/demo/drlucastrindade/" TargetMode="External" Id="rId26" /><Relationship Type="http://schemas.openxmlformats.org/officeDocument/2006/relationships/hyperlink" Target="https://instagram.com/carmemdermatologista" TargetMode="External" Id="rId27" /><Relationship Type="http://schemas.openxmlformats.org/officeDocument/2006/relationships/hyperlink" Target="https://downway.com.br/demo/carmemdermatologista/" TargetMode="External" Id="rId28" /><Relationship Type="http://schemas.openxmlformats.org/officeDocument/2006/relationships/hyperlink" Target="https://instagram.com/drapaulapires" TargetMode="External" Id="rId29" /><Relationship Type="http://schemas.openxmlformats.org/officeDocument/2006/relationships/hyperlink" Target="https://downway.com.br/demo/drapaulapires/" TargetMode="External" Id="rId30" /><Relationship Type="http://schemas.openxmlformats.org/officeDocument/2006/relationships/hyperlink" Target="https://instagram.com/nutripaulastancari" TargetMode="External" Id="rId31" /><Relationship Type="http://schemas.openxmlformats.org/officeDocument/2006/relationships/hyperlink" Target="https://downway.com.br/demo/nutripaulastancari/" TargetMode="External" Id="rId32" /><Relationship Type="http://schemas.openxmlformats.org/officeDocument/2006/relationships/hyperlink" Target="https://instagram.com/nutricionistaesportivo_taina" TargetMode="External" Id="rId33" /><Relationship Type="http://schemas.openxmlformats.org/officeDocument/2006/relationships/hyperlink" Target="https://downway.com.br/demo/nutricionistaesportivo-taina/" TargetMode="External" Id="rId34" /><Relationship Type="http://schemas.openxmlformats.org/officeDocument/2006/relationships/hyperlink" Target="https://instagram.com/psicologadeplantao" TargetMode="External" Id="rId35" /><Relationship Type="http://schemas.openxmlformats.org/officeDocument/2006/relationships/hyperlink" Target="https://downway.com.br/demo/psicologadeplantao/" TargetMode="External" Id="rId36" /><Relationship Type="http://schemas.openxmlformats.org/officeDocument/2006/relationships/hyperlink" Target="https://instagram.com/internalizapsicologia" TargetMode="External" Id="rId37" /><Relationship Type="http://schemas.openxmlformats.org/officeDocument/2006/relationships/hyperlink" Target="https://downway.com.br/demo/internalizapsicologia/" TargetMode="External" Id="rId38" /><Relationship Type="http://schemas.openxmlformats.org/officeDocument/2006/relationships/hyperlink" Target="https://instagram.com/sp.quiro" TargetMode="External" Id="rId39" /><Relationship Type="http://schemas.openxmlformats.org/officeDocument/2006/relationships/hyperlink" Target="https://downway.com.br/demo/sp-quiro/" TargetMode="External" Id="rId40" /><Relationship Type="http://schemas.openxmlformats.org/officeDocument/2006/relationships/hyperlink" Target="https://instagram.com/fernandadinizprev" TargetMode="External" Id="rId41" /><Relationship Type="http://schemas.openxmlformats.org/officeDocument/2006/relationships/hyperlink" Target="https://downway.com.br/demo/fernandadinizprev/" TargetMode="External" Id="rId42" /><Relationship Type="http://schemas.openxmlformats.org/officeDocument/2006/relationships/hyperlink" Target="https://instagram.com/barbearialacerda" TargetMode="External" Id="rId43" /><Relationship Type="http://schemas.openxmlformats.org/officeDocument/2006/relationships/hyperlink" Target="https://downway.com.br/demo/barbearialacerda/" TargetMode="External" Id="rId44" /><Relationship Type="http://schemas.openxmlformats.org/officeDocument/2006/relationships/hyperlink" Target="https://instagram.com/smashburguerdocheff" TargetMode="External" Id="rId45" /><Relationship Type="http://schemas.openxmlformats.org/officeDocument/2006/relationships/hyperlink" Target="https://downway.com.br/demo/smashburguerdocheff/" TargetMode="External" Id="rId46" /><Relationship Type="http://schemas.openxmlformats.org/officeDocument/2006/relationships/hyperlink" Target="https://instagram.com/winnerburger" TargetMode="External" Id="rId47" /><Relationship Type="http://schemas.openxmlformats.org/officeDocument/2006/relationships/hyperlink" Target="https://downway.com.br/demo/winnerburger/" TargetMode="External" Id="rId48" /><Relationship Type="http://schemas.openxmlformats.org/officeDocument/2006/relationships/hyperlink" Target="https://instagram.com/patriciadavidson.nutri" TargetMode="External" Id="rId49" /><Relationship Type="http://schemas.openxmlformats.org/officeDocument/2006/relationships/hyperlink" Target="https://downway.com.br/demo/patriciadavidson-nutri/" TargetMode="External" Id="rId50" /><Relationship Type="http://schemas.openxmlformats.org/officeDocument/2006/relationships/hyperlink" Target="https://instagram.com/nutripaulaparaiso" TargetMode="External" Id="rId51" /><Relationship Type="http://schemas.openxmlformats.org/officeDocument/2006/relationships/hyperlink" Target="https://downway.com.br/demo/nutripaulaparaiso/" TargetMode="External" Id="rId52" /><Relationship Type="http://schemas.openxmlformats.org/officeDocument/2006/relationships/hyperlink" Target="https://instagram.com/thaispereiranutri" TargetMode="External" Id="rId53" /><Relationship Type="http://schemas.openxmlformats.org/officeDocument/2006/relationships/hyperlink" Target="https://downway.com.br/demo/thaispereiranutri/" TargetMode="External" Id="rId54" /><Relationship Type="http://schemas.openxmlformats.org/officeDocument/2006/relationships/hyperlink" Target="https://instagram.com/saopaulopizzas" TargetMode="External" Id="rId55" /><Relationship Type="http://schemas.openxmlformats.org/officeDocument/2006/relationships/hyperlink" Target="https://downway.com.br/demo/saopaulopizzas/" TargetMode="External" Id="rId56" /><Relationship Type="http://schemas.openxmlformats.org/officeDocument/2006/relationships/hyperlink" Target="https://instagram.com/psicotatuape" TargetMode="External" Id="rId57" /><Relationship Type="http://schemas.openxmlformats.org/officeDocument/2006/relationships/hyperlink" Target="https://downway.com.br/demo/psicotatuape/" TargetMode="External" Id="rId58" /><Relationship Type="http://schemas.openxmlformats.org/officeDocument/2006/relationships/hyperlink" Target="https://instagram.com/sarahbrasildermato" TargetMode="External" Id="rId59" /><Relationship Type="http://schemas.openxmlformats.org/officeDocument/2006/relationships/hyperlink" Target="https://downway.com.br/demo/sarahbrasildermato/" TargetMode="External" Id="rId60" /><Relationship Type="http://schemas.openxmlformats.org/officeDocument/2006/relationships/hyperlink" Target="https://instagram.com/bresserbarbearia" TargetMode="External" Id="rId61" /><Relationship Type="http://schemas.openxmlformats.org/officeDocument/2006/relationships/hyperlink" Target="https://downway.com.br/demo/bresserbarbearia/" TargetMode="External" Id="rId62" /><Relationship Type="http://schemas.openxmlformats.org/officeDocument/2006/relationships/hyperlink" Target="https://instagram.com/casacaramelo230" TargetMode="External" Id="rId63" /><Relationship Type="http://schemas.openxmlformats.org/officeDocument/2006/relationships/hyperlink" Target="https://downway.com.br/demo/casacaramelo230/" TargetMode="External" Id="rId64" /><Relationship Type="http://schemas.openxmlformats.org/officeDocument/2006/relationships/hyperlink" Target="https://instagram.com/confeitariamaisbolo" TargetMode="External" Id="rId65" /><Relationship Type="http://schemas.openxmlformats.org/officeDocument/2006/relationships/hyperlink" Target="https://downway.com.br/demo/confeitariamaisbolo/" TargetMode="External" Id="rId66" /><Relationship Type="http://schemas.openxmlformats.org/officeDocument/2006/relationships/hyperlink" Target="https://instagram.com/studio.lashin" TargetMode="External" Id="rId67" /><Relationship Type="http://schemas.openxmlformats.org/officeDocument/2006/relationships/hyperlink" Target="https://downway.com.br/demo/studio-lashin/" TargetMode="External" Id="rId68" /><Relationship Type="http://schemas.openxmlformats.org/officeDocument/2006/relationships/hyperlink" Target="https://instagram.com/gb.estetica.automotiva" TargetMode="External" Id="rId69" /><Relationship Type="http://schemas.openxmlformats.org/officeDocument/2006/relationships/hyperlink" Target="https://downway.com.br/demo/gb-estetica-automotiva/" TargetMode="External" Id="rId70" /><Relationship Type="http://schemas.openxmlformats.org/officeDocument/2006/relationships/hyperlink" Target="https://instagram.com/highclean.sp" TargetMode="External" Id="rId71" /><Relationship Type="http://schemas.openxmlformats.org/officeDocument/2006/relationships/hyperlink" Target="https://downway.com.br/demo/highclean-sp/" TargetMode="External" Id="rId72" /><Relationship Type="http://schemas.openxmlformats.org/officeDocument/2006/relationships/hyperlink" Target="https://instagram.com/lava24horas" TargetMode="External" Id="rId73" /><Relationship Type="http://schemas.openxmlformats.org/officeDocument/2006/relationships/hyperlink" Target="https://downway.com.br/demo/lava24horas/" TargetMode="External" Id="rId74" /><Relationship Type="http://schemas.openxmlformats.org/officeDocument/2006/relationships/hyperlink" Target="https://instagram.com/smashbrothersburger" TargetMode="External" Id="rId75" /><Relationship Type="http://schemas.openxmlformats.org/officeDocument/2006/relationships/hyperlink" Target="https://downway.com.br/demo/smashbrothersburger/" TargetMode="External" Id="rId76" /><Relationship Type="http://schemas.openxmlformats.org/officeDocument/2006/relationships/hyperlink" Target="https://instagram.com/_maplanejados" TargetMode="External" Id="rId77" /><Relationship Type="http://schemas.openxmlformats.org/officeDocument/2006/relationships/hyperlink" Target="https://downway.com.br/demo/maplanejados/" TargetMode="External" Id="rId78" /><Relationship Type="http://schemas.openxmlformats.org/officeDocument/2006/relationships/hyperlink" Target="https://instagram.com/nutriluanafaustino" TargetMode="External" Id="rId79" /><Relationship Type="http://schemas.openxmlformats.org/officeDocument/2006/relationships/hyperlink" Target="https://downway.com.br/demo/nutriluanafaustino/" TargetMode="External" Id="rId80" /><Relationship Type="http://schemas.openxmlformats.org/officeDocument/2006/relationships/hyperlink" Target="https://instagram.com/dom_peludo" TargetMode="External" Id="rId81" /><Relationship Type="http://schemas.openxmlformats.org/officeDocument/2006/relationships/hyperlink" Target="https://downway.com.br/demo/dom-peludo/" TargetMode="External" Id="rId82" /><Relationship Type="http://schemas.openxmlformats.org/officeDocument/2006/relationships/hyperlink" Target="https://instagram.com/petshopcaopece" TargetMode="External" Id="rId83" /><Relationship Type="http://schemas.openxmlformats.org/officeDocument/2006/relationships/hyperlink" Target="https://downway.com.br/demo/petshopcaopece/" TargetMode="External" Id="rId84" /><Relationship Type="http://schemas.openxmlformats.org/officeDocument/2006/relationships/hyperlink" Target="https://instagram.com/thestudiopilatesefuncional" TargetMode="External" Id="rId85" /><Relationship Type="http://schemas.openxmlformats.org/officeDocument/2006/relationships/hyperlink" Target="https://downway.com.br/demo/thestudiopilatesefuncional/" TargetMode="External" Id="rId86" /><Relationship Type="http://schemas.openxmlformats.org/officeDocument/2006/relationships/hyperlink" Target="https://instagram.com/pizzariasaopaulosp" TargetMode="External" Id="rId87" /><Relationship Type="http://schemas.openxmlformats.org/officeDocument/2006/relationships/hyperlink" Target="https://downway.com.br/demo/pizzariasaopaulosp/" TargetMode="External" Id="rId88" /><Relationship Type="http://schemas.openxmlformats.org/officeDocument/2006/relationships/hyperlink" Target="https://instagram.com/vmabeautystudio" TargetMode="External" Id="rId89" /><Relationship Type="http://schemas.openxmlformats.org/officeDocument/2006/relationships/hyperlink" Target="https://downway.com.br/demo/vmabeautystudio/" TargetMode="External" Id="rId90" /><Relationship Type="http://schemas.openxmlformats.org/officeDocument/2006/relationships/hyperlink" Target="https://instagram.com/viadabeleza" TargetMode="External" Id="rId91" /><Relationship Type="http://schemas.openxmlformats.org/officeDocument/2006/relationships/hyperlink" Target="https://downway.com.br/demo/viadabeleza/" TargetMode="External" Id="rId92" /><Relationship Type="http://schemas.openxmlformats.org/officeDocument/2006/relationships/hyperlink" Target="https://instagram.com/alexandreferreira_adv" TargetMode="External" Id="rId93" /><Relationship Type="http://schemas.openxmlformats.org/officeDocument/2006/relationships/hyperlink" Target="https://downway.com.br/demo/alexandreferreira-adv/" TargetMode="External" Id="rId94" /><Relationship Type="http://schemas.openxmlformats.org/officeDocument/2006/relationships/hyperlink" Target="https://instagram.com/elisangelacoelhoadvogada" TargetMode="External" Id="rId95" /><Relationship Type="http://schemas.openxmlformats.org/officeDocument/2006/relationships/hyperlink" Target="https://downway.com.br/demo/elisangelacoelhoadvogada/" TargetMode="External" Id="rId96" /><Relationship Type="http://schemas.openxmlformats.org/officeDocument/2006/relationships/hyperlink" Target="https://instagram.com/marianagdiaz" TargetMode="External" Id="rId97" /><Relationship Type="http://schemas.openxmlformats.org/officeDocument/2006/relationships/hyperlink" Target="https://downway.com.br/demo/marianagdiaz/" TargetMode="External" Id="rId98" /><Relationship Type="http://schemas.openxmlformats.org/officeDocument/2006/relationships/hyperlink" Target="https://instagram.com/naylinnunes" TargetMode="External" Id="rId99" /><Relationship Type="http://schemas.openxmlformats.org/officeDocument/2006/relationships/hyperlink" Target="https://downway.com.br/demo/naylinnunes/" TargetMode="External" Id="rId100" /><Relationship Type="http://schemas.openxmlformats.org/officeDocument/2006/relationships/hyperlink" Target="https://instagram.com/taissantosadv" TargetMode="External" Id="rId101" /><Relationship Type="http://schemas.openxmlformats.org/officeDocument/2006/relationships/hyperlink" Target="https://downway.com.br/demo/taissantosadv/" TargetMode="External" Id="rId102" /><Relationship Type="http://schemas.openxmlformats.org/officeDocument/2006/relationships/hyperlink" Target="https://instagram.com/dentecare.ipiranga" TargetMode="External" Id="rId103" /><Relationship Type="http://schemas.openxmlformats.org/officeDocument/2006/relationships/hyperlink" Target="https://downway.com.br/demo/dentecare-ipiranga/" TargetMode="External" Id="rId104" /><Relationship Type="http://schemas.openxmlformats.org/officeDocument/2006/relationships/hyperlink" Target="https://instagram.com/gabigaviolinutri" TargetMode="External" Id="rId105" /><Relationship Type="http://schemas.openxmlformats.org/officeDocument/2006/relationships/hyperlink" Target="https://downway.com.br/demo/gabigaviolinutri/" TargetMode="External" Id="rId106" /><Relationship Type="http://schemas.openxmlformats.org/officeDocument/2006/relationships/hyperlink" Target="https://instagram.com/carlosdiaz_quiropraxia" TargetMode="External" Id="rId107" /><Relationship Type="http://schemas.openxmlformats.org/officeDocument/2006/relationships/hyperlink" Target="https://downway.com.br/demo/carlosdiaz-quiropraxia/" TargetMode="External" Id="rId108" /><Relationship Type="http://schemas.openxmlformats.org/officeDocument/2006/relationships/hyperlink" Target="https://instagram.com/gferreira_fisio" TargetMode="External" Id="rId109" /><Relationship Type="http://schemas.openxmlformats.org/officeDocument/2006/relationships/hyperlink" Target="https://downway.com.br/demo/gferreira-fisio/" TargetMode="External" Id="rId110" /><Relationship Type="http://schemas.openxmlformats.org/officeDocument/2006/relationships/hyperlink" Target="https://instagram.com/barbeariaformoso" TargetMode="External" Id="rId111" /><Relationship Type="http://schemas.openxmlformats.org/officeDocument/2006/relationships/hyperlink" Target="https://downway.com.br/demo/barbeariaformoso/" TargetMode="External" Id="rId112" /><Relationship Type="http://schemas.openxmlformats.org/officeDocument/2006/relationships/hyperlink" Target="https://instagram.com/barbeariaimperio.tatuape" TargetMode="External" Id="rId113" /><Relationship Type="http://schemas.openxmlformats.org/officeDocument/2006/relationships/hyperlink" Target="https://downway.com.br/demo/barbeariaimperio-tatuape/" TargetMode="External" Id="rId114" /><Relationship Type="http://schemas.openxmlformats.org/officeDocument/2006/relationships/hyperlink" Target="https://instagram.com/ricovallentebarbearia" TargetMode="External" Id="rId115" /><Relationship Type="http://schemas.openxmlformats.org/officeDocument/2006/relationships/hyperlink" Target="https://downway.com.br/demo/ricovallentebarbearia/" TargetMode="External" Id="rId116" /><Relationship Type="http://schemas.openxmlformats.org/officeDocument/2006/relationships/hyperlink" Target="https://instagram.com/burks.barbearia" TargetMode="External" Id="rId117" /><Relationship Type="http://schemas.openxmlformats.org/officeDocument/2006/relationships/hyperlink" Target="https://downway.com.br/demo/burks-barbearia/" TargetMode="External" Id="rId118" /><Relationship Type="http://schemas.openxmlformats.org/officeDocument/2006/relationships/hyperlink" Target="https://instagram.com/meu_barbeiro" TargetMode="External" Id="rId119" /><Relationship Type="http://schemas.openxmlformats.org/officeDocument/2006/relationships/hyperlink" Target="https://downway.com.br/demo/meu-barbeiro/" TargetMode="External" Id="rId120" /><Relationship Type="http://schemas.openxmlformats.org/officeDocument/2006/relationships/hyperlink" Target="https://instagram.com/clinicaharmonize.estetica" TargetMode="External" Id="rId121" /><Relationship Type="http://schemas.openxmlformats.org/officeDocument/2006/relationships/hyperlink" Target="https://downway.com.br/demo/clinicaharmonize-estetica/" TargetMode="External" Id="rId122" /><Relationship Type="http://schemas.openxmlformats.org/officeDocument/2006/relationships/hyperlink" Target="https://instagram.com/esteticlux" TargetMode="External" Id="rId123" /><Relationship Type="http://schemas.openxmlformats.org/officeDocument/2006/relationships/hyperlink" Target="https://downway.com.br/demo/esteticlux/" TargetMode="External" Id="rId124" /><Relationship Type="http://schemas.openxmlformats.org/officeDocument/2006/relationships/hyperlink" Target="https://instagram.com/artebolossaopaulo" TargetMode="External" Id="rId125" /><Relationship Type="http://schemas.openxmlformats.org/officeDocument/2006/relationships/hyperlink" Target="https://downway.com.br/demo/artebolossaopaulo/" TargetMode="External" Id="rId126" /><Relationship Type="http://schemas.openxmlformats.org/officeDocument/2006/relationships/hyperlink" Target="https://instagram.com/bubriconfeitaria" TargetMode="External" Id="rId127" /><Relationship Type="http://schemas.openxmlformats.org/officeDocument/2006/relationships/hyperlink" Target="https://downway.com.br/demo/bubriconfeitaria/" TargetMode="External" Id="rId128" /><Relationship Type="http://schemas.openxmlformats.org/officeDocument/2006/relationships/hyperlink" Target="https://instagram.com/gabiduarteconfeitaria" TargetMode="External" Id="rId129" /><Relationship Type="http://schemas.openxmlformats.org/officeDocument/2006/relationships/hyperlink" Target="https://downway.com.br/demo/gabiduarteconfeitaria/" TargetMode="External" Id="rId130" /><Relationship Type="http://schemas.openxmlformats.org/officeDocument/2006/relationships/hyperlink" Target="https://instagram.com/carolgalvaobeauty" TargetMode="External" Id="rId131" /><Relationship Type="http://schemas.openxmlformats.org/officeDocument/2006/relationships/hyperlink" Target="https://downway.com.br/demo/carolgalvaobeauty/" TargetMode="External" Id="rId132" /><Relationship Type="http://schemas.openxmlformats.org/officeDocument/2006/relationships/hyperlink" Target="https://instagram.com/studiolayllavieira" TargetMode="External" Id="rId133" /><Relationship Type="http://schemas.openxmlformats.org/officeDocument/2006/relationships/hyperlink" Target="https://downway.com.br/demo/studiolayllavieira/" TargetMode="External" Id="rId134" /><Relationship Type="http://schemas.openxmlformats.org/officeDocument/2006/relationships/hyperlink" Target="https://instagram.com/wlashstudio" TargetMode="External" Id="rId135" /><Relationship Type="http://schemas.openxmlformats.org/officeDocument/2006/relationships/hyperlink" Target="https://downway.com.br/demo/wlashstudio/" TargetMode="External" Id="rId136" /><Relationship Type="http://schemas.openxmlformats.org/officeDocument/2006/relationships/hyperlink" Target="https://instagram.com/marcenariasenna" TargetMode="External" Id="rId137" /><Relationship Type="http://schemas.openxmlformats.org/officeDocument/2006/relationships/hyperlink" Target="https://downway.com.br/demo/marcenariasenna/" TargetMode="External" Id="rId138" /><Relationship Type="http://schemas.openxmlformats.org/officeDocument/2006/relationships/hyperlink" Target="https://instagram.com/p.r.t_marcenariaeplanejados" TargetMode="External" Id="rId139" /><Relationship Type="http://schemas.openxmlformats.org/officeDocument/2006/relationships/hyperlink" Target="https://downway.com.br/demo/p-r-t-marcenariaeplanejados/" TargetMode="External" Id="rId140" /><Relationship Type="http://schemas.openxmlformats.org/officeDocument/2006/relationships/hyperlink" Target="https://instagram.com/positivamarcenaria" TargetMode="External" Id="rId141" /><Relationship Type="http://schemas.openxmlformats.org/officeDocument/2006/relationships/hyperlink" Target="https://downway.com.br/demo/positivamarcenaria/" TargetMode="External" Id="rId142" /><Relationship Type="http://schemas.openxmlformats.org/officeDocument/2006/relationships/hyperlink" Target="https://instagram.com/petshoppenha" TargetMode="External" Id="rId143" /><Relationship Type="http://schemas.openxmlformats.org/officeDocument/2006/relationships/hyperlink" Target="https://downway.com.br/demo/petshoppenha/" TargetMode="External" Id="rId144" /><Relationship Type="http://schemas.openxmlformats.org/officeDocument/2006/relationships/hyperlink" Target="https://instagram.com/core_fit" TargetMode="External" Id="rId145" /><Relationship Type="http://schemas.openxmlformats.org/officeDocument/2006/relationships/hyperlink" Target="https://downway.com.br/demo/core-fit/" TargetMode="External" Id="rId146" /><Relationship Type="http://schemas.openxmlformats.org/officeDocument/2006/relationships/hyperlink" Target="https://instagram.com/noahpilates" TargetMode="External" Id="rId147" /><Relationship Type="http://schemas.openxmlformats.org/officeDocument/2006/relationships/hyperlink" Target="https://downway.com.br/demo/noahpilates/" TargetMode="External" Id="rId148" /><Relationship Type="http://schemas.openxmlformats.org/officeDocument/2006/relationships/hyperlink" Target="https://instagram.com/inventstudiodebeleza" TargetMode="External" Id="rId149" /><Relationship Type="http://schemas.openxmlformats.org/officeDocument/2006/relationships/hyperlink" Target="https://downway.com.br/demo/inventstudiodebeleza/" TargetMode="External" Id="rId150" /><Relationship Type="http://schemas.openxmlformats.org/officeDocument/2006/relationships/hyperlink" Target="https://instagram.com/andressa_nails_" TargetMode="External" Id="rId151" /><Relationship Type="http://schemas.openxmlformats.org/officeDocument/2006/relationships/hyperlink" Target="https://downway.com.br/demo/andressa-nails/" TargetMode="External" Id="rId152" /><Relationship Type="http://schemas.openxmlformats.org/officeDocument/2006/relationships/hyperlink" Target="https://instagram.com/espacostereis" TargetMode="External" Id="rId153" /><Relationship Type="http://schemas.openxmlformats.org/officeDocument/2006/relationships/hyperlink" Target="https://downway.com.br/demo/espacostereis/" TargetMode="External" Id="rId154" /><Relationship Type="http://schemas.openxmlformats.org/officeDocument/2006/relationships/hyperlink" Target="https://instagram.com/watarinails" TargetMode="External" Id="rId155" /><Relationship Type="http://schemas.openxmlformats.org/officeDocument/2006/relationships/hyperlink" Target="https://downway.com.br/demo/watarinails/" TargetMode="External" Id="rId156" /><Relationship Type="http://schemas.openxmlformats.org/officeDocument/2006/relationships/hyperlink" Target="https://instagram.com/bicho.com_zonasul" TargetMode="External" Id="rId157" /><Relationship Type="http://schemas.openxmlformats.org/officeDocument/2006/relationships/hyperlink" Target="https://downway.com.br/demo/bicho-com-zonasul/" TargetMode="External" Id="rId158" /><Relationship Type="http://schemas.openxmlformats.org/officeDocument/2006/relationships/hyperlink" Target="https://instagram.com/mgmespacodebeleza" TargetMode="External" Id="rId159" /><Relationship Type="http://schemas.openxmlformats.org/officeDocument/2006/relationships/hyperlink" Target="https://downway.com.br/demo/mgmespacodebeleza/" TargetMode="External" Id="rId160" /><Relationship Type="http://schemas.openxmlformats.org/officeDocument/2006/relationships/hyperlink" Target="https://instagram.com/borgesadvocacia" TargetMode="External" Id="rId161" /><Relationship Type="http://schemas.openxmlformats.org/officeDocument/2006/relationships/hyperlink" Target="https://downway.com.br/demo/borgesadvocacia/" TargetMode="External" Id="rId162" /><Relationship Type="http://schemas.openxmlformats.org/officeDocument/2006/relationships/hyperlink" Target="https://instagram.com/mariabussade" TargetMode="External" Id="rId163" /><Relationship Type="http://schemas.openxmlformats.org/officeDocument/2006/relationships/hyperlink" Target="https://downway.com.br/demo/mariabussade/" TargetMode="External" Id="rId164" /><Relationship Type="http://schemas.openxmlformats.org/officeDocument/2006/relationships/hyperlink" Target="https://instagram.com/dantas.advocacia" TargetMode="External" Id="rId165" /><Relationship Type="http://schemas.openxmlformats.org/officeDocument/2006/relationships/hyperlink" Target="https://downway.com.br/demo/dantas-advocacia/" TargetMode="External" Id="rId166" /><Relationship Type="http://schemas.openxmlformats.org/officeDocument/2006/relationships/hyperlink" Target="https://instagram.com/pandolaodontologia" TargetMode="External" Id="rId167" /><Relationship Type="http://schemas.openxmlformats.org/officeDocument/2006/relationships/hyperlink" Target="https://downway.com.br/demo/pandolaodontologia/" TargetMode="External" Id="rId168" /><Relationship Type="http://schemas.openxmlformats.org/officeDocument/2006/relationships/hyperlink" Target="https://instagram.com/dermaaclinica" TargetMode="External" Id="rId169" /><Relationship Type="http://schemas.openxmlformats.org/officeDocument/2006/relationships/hyperlink" Target="https://downway.com.br/demo/dermaaclinica/" TargetMode="External" Id="rId170" /><Relationship Type="http://schemas.openxmlformats.org/officeDocument/2006/relationships/hyperlink" Target="https://instagram.com/clinicadermic" TargetMode="External" Id="rId171" /><Relationship Type="http://schemas.openxmlformats.org/officeDocument/2006/relationships/hyperlink" Target="https://downway.com.br/demo/clinicadermic/" TargetMode="External" Id="rId172" /><Relationship Type="http://schemas.openxmlformats.org/officeDocument/2006/relationships/hyperlink" Target="https://instagram.com/drrafaelcarboni" TargetMode="External" Id="rId173" /><Relationship Type="http://schemas.openxmlformats.org/officeDocument/2006/relationships/hyperlink" Target="https://downway.com.br/demo/drrafaelcarboni/" TargetMode="External" Id="rId174" /><Relationship Type="http://schemas.openxmlformats.org/officeDocument/2006/relationships/hyperlink" Target="https://instagram.com/isabellalacerda_nutri" TargetMode="External" Id="rId175" /><Relationship Type="http://schemas.openxmlformats.org/officeDocument/2006/relationships/hyperlink" Target="https://downway.com.br/demo/isabellalacerda-nutri/" TargetMode="External" Id="rId176" /><Relationship Type="http://schemas.openxmlformats.org/officeDocument/2006/relationships/hyperlink" Target="https://instagram.com/espaco.ninho" TargetMode="External" Id="rId177" /><Relationship Type="http://schemas.openxmlformats.org/officeDocument/2006/relationships/hyperlink" Target="https://downway.com.br/demo/espaco-ninho/" TargetMode="External" Id="rId178" /><Relationship Type="http://schemas.openxmlformats.org/officeDocument/2006/relationships/hyperlink" Target="https://instagram.com/jessicaabreuadv" TargetMode="External" Id="rId179" /><Relationship Type="http://schemas.openxmlformats.org/officeDocument/2006/relationships/hyperlink" Target="https://downway.com.br/demo/jessicaabreuadv/" TargetMode="External" Id="rId180" /><Relationship Type="http://schemas.openxmlformats.org/officeDocument/2006/relationships/hyperlink" Target="https://instagram.com/wplanejados" TargetMode="External" Id="rId181" /><Relationship Type="http://schemas.openxmlformats.org/officeDocument/2006/relationships/hyperlink" Target="https://downway.com.br/demo/wplanejados/" TargetMode="External" Id="rId1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12" customWidth="1" min="4" max="4"/>
    <col width="17" customWidth="1" min="5" max="5"/>
    <col width="20" customWidth="1" min="6" max="6"/>
    <col width="34" customWidth="1" min="7" max="7"/>
    <col width="28" customWidth="1" min="8" max="8"/>
    <col width="16" customWidth="1" min="9" max="9"/>
    <col width="11" customWidth="1" min="10" max="10"/>
    <col width="22" customWidth="1" min="11" max="11"/>
    <col width="15" customWidth="1" min="12" max="12"/>
    <col width="24" customWidth="1" min="13" max="13"/>
    <col width="12" customWidth="1" min="14" max="14"/>
    <col width="22" customWidth="1" min="15" max="15"/>
    <col width="60" customWidth="1" min="16" max="16"/>
    <col width="40" customWidth="1" min="17" max="17"/>
    <col width="13" customWidth="1" min="18" max="18"/>
    <col width="13" customWidth="1" min="19" max="19"/>
    <col width="24" customWidth="1" min="20" max="20"/>
    <col width="36" customWidth="1" min="21" max="21"/>
  </cols>
  <sheetData>
    <row r="1" ht="30" customHeight="1">
      <c r="A1" s="1" t="inlineStr">
        <is>
          <t>#</t>
        </is>
      </c>
      <c r="B1" s="1" t="inlineStr">
        <is>
          <t>Prior.</t>
        </is>
      </c>
      <c r="C1" s="1" t="inlineStr">
        <is>
          <t>Score</t>
        </is>
      </c>
      <c r="D1" s="1" t="inlineStr">
        <is>
          <t>Tipo</t>
        </is>
      </c>
      <c r="E1" s="1" t="inlineStr">
        <is>
          <t>Categoria</t>
        </is>
      </c>
      <c r="F1" s="1" t="inlineStr">
        <is>
          <t>Especialidade / nicho</t>
        </is>
      </c>
      <c r="G1" s="1" t="inlineStr">
        <is>
          <t>Nome</t>
        </is>
      </c>
      <c r="H1" s="1" t="inlineStr">
        <is>
          <t>Instagram</t>
        </is>
      </c>
      <c r="I1" s="1" t="inlineStr">
        <is>
          <t>Bairro</t>
        </is>
      </c>
      <c r="J1" s="1" t="inlineStr">
        <is>
          <t>Seguidores</t>
        </is>
      </c>
      <c r="K1" s="1" t="inlineStr">
        <is>
          <t>Registro</t>
        </is>
      </c>
      <c r="L1" s="1" t="inlineStr">
        <is>
          <t>Site atual</t>
        </is>
      </c>
      <c r="M1" s="1" t="inlineStr">
        <is>
          <t>Link da bio</t>
        </is>
      </c>
      <c r="N1" s="1" t="inlineStr">
        <is>
          <t>Último post</t>
        </is>
      </c>
      <c r="O1" s="1" t="inlineStr">
        <is>
          <t>Prévia</t>
        </is>
      </c>
      <c r="P1" s="1" t="inlineStr">
        <is>
          <t>Mensagem 1 (DM)</t>
        </is>
      </c>
      <c r="Q1" s="1" t="inlineStr">
        <is>
          <t>Follow-up (2 dias)</t>
        </is>
      </c>
      <c r="R1" s="1" t="inlineStr">
        <is>
          <t>Status</t>
        </is>
      </c>
      <c r="S1" s="1" t="inlineStr">
        <is>
          <t>Data contato</t>
        </is>
      </c>
      <c r="T1" s="1" t="inlineStr">
        <is>
          <t>Próximo passo</t>
        </is>
      </c>
      <c r="U1" s="1" t="inlineStr">
        <is>
          <t>Observação</t>
        </is>
      </c>
    </row>
    <row r="2" ht="96" customHeight="1">
      <c r="A2" s="2" t="n">
        <v>1</v>
      </c>
      <c r="B2" s="2" t="inlineStr">
        <is>
          <t>A</t>
        </is>
      </c>
      <c r="C2" s="2" t="n">
        <v>10</v>
      </c>
      <c r="D2" s="2" t="inlineStr">
        <is>
          <t>Profissional</t>
        </is>
      </c>
      <c r="E2" s="2" t="inlineStr">
        <is>
          <t>Dentista</t>
        </is>
      </c>
      <c r="F2" s="2" t="inlineStr">
        <is>
          <t>odontologia</t>
        </is>
      </c>
      <c r="G2" s="2" t="inlineStr">
        <is>
          <t>Odonto8 Tatuapé</t>
        </is>
      </c>
      <c r="H2" s="3" t="inlineStr">
        <is>
          <t>@odonto8.tatuape</t>
        </is>
      </c>
      <c r="I2" s="2" t="inlineStr">
        <is>
          <t>Tatuapé</t>
        </is>
      </c>
      <c r="J2" s="2" t="n">
        <v>7116</v>
      </c>
      <c r="K2" s="2" t="inlineStr">
        <is>
          <t>CRO-CL 17739</t>
        </is>
      </c>
      <c r="L2" s="2" t="inlineStr">
        <is>
          <t>nao encontrado</t>
        </is>
      </c>
      <c r="M2" s="2" t="inlineStr"/>
      <c r="N2" s="2" t="inlineStr"/>
      <c r="O2" s="3" t="inlineStr">
        <is>
          <t>Abrir prévia</t>
        </is>
      </c>
      <c r="P2" s="4" t="inlineStr">
        <is>
          <t>Oi, pessoal da Odonto8 Tatuapé! Sou o [SEU NOME], da Downway. Acompanho o conteúdo de vocês de odontologia aqui no Instagram e montei uma prévia de site para a Odonto8 Tatuapé, já com CRO e responsável técnico em destaque: https://downway.com.br/demo/odonto8-tatuape/
Hoje, quem pesquisa "dentista no Tatuapé" no Google encontra outros profissionais. Com o site, essa pessoa chega até vocês e já fala no WhatsApp. Posso mostrar como fica no ar?</t>
        </is>
      </c>
      <c r="Q2" s="4" t="inlineStr">
        <is>
          <t>Oi! Conseguiu ver a prévia do site? Se quiser, ajusto cores, fotos ou textos para ficar com a cara do seu trabalho. A prévia fica no ar por 7 dias.</t>
        </is>
      </c>
      <c r="R2" s="2" t="inlineStr">
        <is>
          <t>Novo</t>
        </is>
      </c>
      <c r="S2" s="5" t="n"/>
      <c r="T2" s="2" t="inlineStr"/>
      <c r="U2" s="4" t="inlineStr"/>
    </row>
    <row r="3" ht="96" customHeight="1">
      <c r="A3" s="2" t="n">
        <v>2</v>
      </c>
      <c r="B3" s="2" t="inlineStr">
        <is>
          <t>A</t>
        </is>
      </c>
      <c r="C3" s="2" t="n">
        <v>9</v>
      </c>
      <c r="D3" s="2" t="inlineStr">
        <is>
          <t>Profissional</t>
        </is>
      </c>
      <c r="E3" s="2" t="inlineStr">
        <is>
          <t>Advogado</t>
        </is>
      </c>
      <c r="F3" s="2" t="inlineStr">
        <is>
          <t>família</t>
        </is>
      </c>
      <c r="G3" s="2" t="inlineStr">
        <is>
          <t>Ana Ricarte Advocacia</t>
        </is>
      </c>
      <c r="H3" s="3" t="inlineStr">
        <is>
          <t>@anaricarteadvogada</t>
        </is>
      </c>
      <c r="I3" s="2" t="inlineStr">
        <is>
          <t>São Paulo</t>
        </is>
      </c>
      <c r="J3" s="2" t="n">
        <v>14000</v>
      </c>
      <c r="K3" s="2" t="inlineStr"/>
      <c r="L3" s="2" t="inlineStr">
        <is>
          <t>nao encontrado</t>
        </is>
      </c>
      <c r="M3" s="2" t="inlineStr"/>
      <c r="N3" s="2" t="inlineStr"/>
      <c r="O3" s="3" t="inlineStr">
        <is>
          <t>Abrir prévia</t>
        </is>
      </c>
      <c r="P3" s="4" t="inlineStr">
        <is>
          <t>Oi, Ana! Sou o [SEU NOME], da Downway. Acompanho seu conteúdo de direito de família aqui no Instagram e montei uma prévia de site para você, já seguindo as regras de publicidade da OAB (Provimento 205/2021): https://downway.com.br/demo/anaricarteadvogada/
Hoje, quem pesquisa "advogado de família em São Paulo" no Google encontra outros profissionais. Com o site, essa pessoa chega até você e já fala no WhatsApp. Posso mostrar como fica no ar?</t>
        </is>
      </c>
      <c r="Q3" s="4" t="inlineStr">
        <is>
          <t>Oi! Conseguiu ver a prévia do site? Se quiser, ajusto cores, fotos ou textos para ficar com a cara do seu trabalho. A prévia fica no ar por 7 dias.</t>
        </is>
      </c>
      <c r="R3" s="2" t="inlineStr">
        <is>
          <t>Novo</t>
        </is>
      </c>
      <c r="S3" s="5" t="n"/>
      <c r="T3" s="2" t="inlineStr"/>
      <c r="U3" s="4" t="inlineStr"/>
    </row>
    <row r="4" ht="96" customHeight="1">
      <c r="A4" s="2" t="n">
        <v>3</v>
      </c>
      <c r="B4" s="2" t="inlineStr">
        <is>
          <t>A</t>
        </is>
      </c>
      <c r="C4" s="2" t="n">
        <v>9</v>
      </c>
      <c r="D4" s="2" t="inlineStr">
        <is>
          <t>Profissional</t>
        </is>
      </c>
      <c r="E4" s="2" t="inlineStr">
        <is>
          <t>Advogado</t>
        </is>
      </c>
      <c r="F4" s="2" t="inlineStr">
        <is>
          <t>família</t>
        </is>
      </c>
      <c r="G4" s="2" t="inlineStr">
        <is>
          <t>Andreia Pereira Advocacia</t>
        </is>
      </c>
      <c r="H4" s="3" t="inlineStr">
        <is>
          <t>@andreiapereira.adv</t>
        </is>
      </c>
      <c r="I4" s="2" t="inlineStr">
        <is>
          <t>São Paulo</t>
        </is>
      </c>
      <c r="J4" s="2" t="n">
        <v>28000</v>
      </c>
      <c r="K4" s="2" t="inlineStr"/>
      <c r="L4" s="2" t="inlineStr">
        <is>
          <t>nao encontrado</t>
        </is>
      </c>
      <c r="M4" s="2" t="inlineStr"/>
      <c r="N4" s="2" t="inlineStr"/>
      <c r="O4" s="3" t="inlineStr">
        <is>
          <t>Abrir prévia</t>
        </is>
      </c>
      <c r="P4" s="4" t="inlineStr">
        <is>
          <t>Oi, Andreia! Sou o [SEU NOME], da Downway. Acompanho seu conteúdo de direito de família aqui no Instagram e montei uma prévia de site para você, já seguindo as regras de publicidade da OAB (Provimento 205/2021): https://downway.com.br/demo/andreiapereira-adv/
Hoje, quem pesquisa "advogado de família em São Paulo" no Google encontra outros profissionais. Com o site, essa pessoa chega até você e já fala no WhatsApp. Posso mostrar como fica no ar?</t>
        </is>
      </c>
      <c r="Q4" s="4" t="inlineStr">
        <is>
          <t>Oi! Conseguiu ver a prévia do site? Se quiser, ajusto cores, fotos ou textos para ficar com a cara do seu trabalho. A prévia fica no ar por 7 dias.</t>
        </is>
      </c>
      <c r="R4" s="2" t="inlineStr">
        <is>
          <t>Novo</t>
        </is>
      </c>
      <c r="S4" s="5" t="n"/>
      <c r="T4" s="2" t="inlineStr"/>
      <c r="U4" s="4" t="inlineStr"/>
    </row>
    <row r="5" ht="96" customHeight="1">
      <c r="A5" s="2" t="n">
        <v>4</v>
      </c>
      <c r="B5" s="2" t="inlineStr">
        <is>
          <t>A</t>
        </is>
      </c>
      <c r="C5" s="2" t="n">
        <v>9</v>
      </c>
      <c r="D5" s="2" t="inlineStr">
        <is>
          <t>Profissional</t>
        </is>
      </c>
      <c r="E5" s="2" t="inlineStr">
        <is>
          <t>Advogado</t>
        </is>
      </c>
      <c r="F5" s="2" t="inlineStr">
        <is>
          <t>família</t>
        </is>
      </c>
      <c r="G5" s="2" t="inlineStr">
        <is>
          <t>Barbara Ferreira Advocacia</t>
        </is>
      </c>
      <c r="H5" s="3" t="inlineStr">
        <is>
          <t>@baferreiraadv</t>
        </is>
      </c>
      <c r="I5" s="2" t="inlineStr">
        <is>
          <t>São Paulo</t>
        </is>
      </c>
      <c r="J5" s="2" t="n">
        <v>7362</v>
      </c>
      <c r="K5" s="2" t="inlineStr"/>
      <c r="L5" s="2" t="inlineStr">
        <is>
          <t>nao encontrado</t>
        </is>
      </c>
      <c r="M5" s="2" t="inlineStr"/>
      <c r="N5" s="2" t="inlineStr"/>
      <c r="O5" s="3" t="inlineStr">
        <is>
          <t>Abrir prévia</t>
        </is>
      </c>
      <c r="P5" s="4" t="inlineStr">
        <is>
          <t>Oi, Barbara! Sou o [SEU NOME], da Downway. Acompanho seu conteúdo de direito de família aqui no Instagram e montei uma prévia de site para você, já seguindo as regras de publicidade da OAB (Provimento 205/2021): https://downway.com.br/demo/baferreiraadv/
Hoje, quem pesquisa "advogado de família em São Paulo" no Google encontra outros profissionais. Com o site, essa pessoa chega até você e já fala no WhatsApp. Posso mostrar como fica no ar?</t>
        </is>
      </c>
      <c r="Q5" s="4" t="inlineStr">
        <is>
          <t>Oi! Conseguiu ver a prévia do site? Se quiser, ajusto cores, fotos ou textos para ficar com a cara do seu trabalho. A prévia fica no ar por 7 dias.</t>
        </is>
      </c>
      <c r="R5" s="2" t="inlineStr">
        <is>
          <t>Novo</t>
        </is>
      </c>
      <c r="S5" s="5" t="n"/>
      <c r="T5" s="2" t="inlineStr"/>
      <c r="U5" s="4" t="inlineStr"/>
    </row>
    <row r="6" ht="96" customHeight="1">
      <c r="A6" s="2" t="n">
        <v>5</v>
      </c>
      <c r="B6" s="2" t="inlineStr">
        <is>
          <t>A</t>
        </is>
      </c>
      <c r="C6" s="2" t="n">
        <v>9</v>
      </c>
      <c r="D6" s="2" t="inlineStr">
        <is>
          <t>Profissional</t>
        </is>
      </c>
      <c r="E6" s="2" t="inlineStr">
        <is>
          <t>Advogado</t>
        </is>
      </c>
      <c r="F6" s="2" t="inlineStr">
        <is>
          <t>consumidor</t>
        </is>
      </c>
      <c r="G6" s="2" t="inlineStr">
        <is>
          <t>Caio De Luccas Advocacia</t>
        </is>
      </c>
      <c r="H6" s="3" t="inlineStr">
        <is>
          <t>@caiodeluccas.adv</t>
        </is>
      </c>
      <c r="I6" s="2" t="inlineStr">
        <is>
          <t>São Paulo</t>
        </is>
      </c>
      <c r="J6" s="2" t="n">
        <v>12000</v>
      </c>
      <c r="K6" s="2" t="inlineStr"/>
      <c r="L6" s="2" t="inlineStr">
        <is>
          <t>nao encontrado</t>
        </is>
      </c>
      <c r="M6" s="2" t="inlineStr"/>
      <c r="N6" s="2" t="inlineStr"/>
      <c r="O6" s="3" t="inlineStr">
        <is>
          <t>Abrir prévia</t>
        </is>
      </c>
      <c r="P6" s="4" t="inlineStr">
        <is>
          <t>Oi, Caio! Sou o [SEU NOME], da Downway. Acompanho seu conteúdo de direito do consumidor aqui no Instagram e montei uma prévia de site para você, já seguindo as regras de publicidade da OAB (Provimento 205/2021): https://downway.com.br/demo/caiodeluccas-adv/
Hoje, quem pesquisa "advogado do consumidor em São Paulo" no Google encontra outros profissionais. Com o site, essa pessoa chega até você e já fala no WhatsApp. Posso mostrar como fica no ar?</t>
        </is>
      </c>
      <c r="Q6" s="4" t="inlineStr">
        <is>
          <t>Oi! Conseguiu ver a prévia do site? Se quiser, ajusto cores, fotos ou textos para ficar com a cara do seu trabalho. A prévia fica no ar por 7 dias.</t>
        </is>
      </c>
      <c r="R6" s="2" t="inlineStr">
        <is>
          <t>Novo</t>
        </is>
      </c>
      <c r="S6" s="5" t="n"/>
      <c r="T6" s="2" t="inlineStr"/>
      <c r="U6" s="4" t="inlineStr"/>
    </row>
    <row r="7" ht="96" customHeight="1">
      <c r="A7" s="2" t="n">
        <v>6</v>
      </c>
      <c r="B7" s="2" t="inlineStr">
        <is>
          <t>A</t>
        </is>
      </c>
      <c r="C7" s="2" t="n">
        <v>9</v>
      </c>
      <c r="D7" s="2" t="inlineStr">
        <is>
          <t>Profissional</t>
        </is>
      </c>
      <c r="E7" s="2" t="inlineStr">
        <is>
          <t>Advogado</t>
        </is>
      </c>
      <c r="F7" s="2" t="inlineStr">
        <is>
          <t>trabalhista</t>
        </is>
      </c>
      <c r="G7" s="2" t="inlineStr">
        <is>
          <t>Jonas Figueiredo Advocacia</t>
        </is>
      </c>
      <c r="H7" s="3" t="inlineStr">
        <is>
          <t>@jonasfigueiredoadv</t>
        </is>
      </c>
      <c r="I7" s="2" t="inlineStr">
        <is>
          <t>São Paulo</t>
        </is>
      </c>
      <c r="J7" s="2" t="n">
        <v>5756</v>
      </c>
      <c r="K7" s="2" t="inlineStr"/>
      <c r="L7" s="2" t="inlineStr">
        <is>
          <t>nao encontrado</t>
        </is>
      </c>
      <c r="M7" s="2" t="inlineStr"/>
      <c r="N7" s="2" t="inlineStr"/>
      <c r="O7" s="3" t="inlineStr">
        <is>
          <t>Abrir prévia</t>
        </is>
      </c>
      <c r="P7" s="4" t="inlineStr">
        <is>
          <t>Oi, Jonas! Sou o [SEU NOME], da Downway. Acompanho seu conteúdo de direito trabalhista aqui no Instagram e montei uma prévia de site para você, já seguindo as regras de publicidade da OAB (Provimento 205/2021): https://downway.com.br/demo/jonasfigueiredoadv/
Hoje, quem pesquisa "advogado trabalhista em São Paulo" no Google encontra outros profissionais. Com o site, essa pessoa chega até você e já fala no WhatsApp. Posso mostrar como fica no ar?</t>
        </is>
      </c>
      <c r="Q7" s="4" t="inlineStr">
        <is>
          <t>Oi! Conseguiu ver a prévia do site? Se quiser, ajusto cores, fotos ou textos para ficar com a cara do seu trabalho. A prévia fica no ar por 7 dias.</t>
        </is>
      </c>
      <c r="R7" s="2" t="inlineStr">
        <is>
          <t>Novo</t>
        </is>
      </c>
      <c r="S7" s="5" t="n"/>
      <c r="T7" s="2" t="inlineStr"/>
      <c r="U7" s="4" t="inlineStr"/>
    </row>
    <row r="8" ht="96" customHeight="1">
      <c r="A8" s="2" t="n">
        <v>7</v>
      </c>
      <c r="B8" s="2" t="inlineStr">
        <is>
          <t>A</t>
        </is>
      </c>
      <c r="C8" s="2" t="n">
        <v>9</v>
      </c>
      <c r="D8" s="2" t="inlineStr">
        <is>
          <t>Profissional</t>
        </is>
      </c>
      <c r="E8" s="2" t="inlineStr">
        <is>
          <t>Advogado</t>
        </is>
      </c>
      <c r="F8" s="2" t="inlineStr">
        <is>
          <t>família</t>
        </is>
      </c>
      <c r="G8" s="2" t="inlineStr">
        <is>
          <t>Ligia Bertaggia Advocacia</t>
        </is>
      </c>
      <c r="H8" s="3" t="inlineStr">
        <is>
          <t>@direitodefamiliaesucessoes</t>
        </is>
      </c>
      <c r="I8" s="2" t="inlineStr">
        <is>
          <t>São Paulo</t>
        </is>
      </c>
      <c r="J8" s="2" t="n">
        <v>13000</v>
      </c>
      <c r="K8" s="2" t="inlineStr"/>
      <c r="L8" s="2" t="inlineStr">
        <is>
          <t>nao encontrado</t>
        </is>
      </c>
      <c r="M8" s="2" t="inlineStr"/>
      <c r="N8" s="2" t="inlineStr"/>
      <c r="O8" s="3" t="inlineStr">
        <is>
          <t>Abrir prévia</t>
        </is>
      </c>
      <c r="P8" s="4" t="inlineStr">
        <is>
          <t>Oi, Ligia! Sou o [SEU NOME], da Downway. Acompanho seu conteúdo de direito de família aqui no Instagram e montei uma prévia de site para você, já seguindo as regras de publicidade da OAB (Provimento 205/2021): https://downway.com.br/demo/direitodefamiliaesucessoes/
Hoje, quem pesquisa "advogado de família em São Paulo" no Google encontra outros profissionais. Com o site, essa pessoa chega até você e já fala no WhatsApp. Posso mostrar como fica no ar?</t>
        </is>
      </c>
      <c r="Q8" s="4" t="inlineStr">
        <is>
          <t>Oi! Conseguiu ver a prévia do site? Se quiser, ajusto cores, fotos ou textos para ficar com a cara do seu trabalho. A prévia fica no ar por 7 dias.</t>
        </is>
      </c>
      <c r="R8" s="2" t="inlineStr">
        <is>
          <t>Novo</t>
        </is>
      </c>
      <c r="S8" s="5" t="n"/>
      <c r="T8" s="2" t="inlineStr"/>
      <c r="U8" s="4" t="inlineStr"/>
    </row>
    <row r="9" ht="96" customHeight="1">
      <c r="A9" s="2" t="n">
        <v>8</v>
      </c>
      <c r="B9" s="2" t="inlineStr">
        <is>
          <t>A</t>
        </is>
      </c>
      <c r="C9" s="2" t="n">
        <v>9</v>
      </c>
      <c r="D9" s="2" t="inlineStr">
        <is>
          <t>Profissional</t>
        </is>
      </c>
      <c r="E9" s="2" t="inlineStr">
        <is>
          <t>Advogado</t>
        </is>
      </c>
      <c r="F9" s="2" t="inlineStr">
        <is>
          <t>família</t>
        </is>
      </c>
      <c r="G9" s="2" t="inlineStr">
        <is>
          <t>Mariana Regis Advocacia</t>
        </is>
      </c>
      <c r="H9" s="3" t="inlineStr">
        <is>
          <t>@marianaregisadvogada</t>
        </is>
      </c>
      <c r="I9" s="2" t="inlineStr">
        <is>
          <t>São Paulo</t>
        </is>
      </c>
      <c r="J9" s="2" t="n">
        <v>34000</v>
      </c>
      <c r="K9" s="2" t="inlineStr"/>
      <c r="L9" s="2" t="inlineStr">
        <is>
          <t>nao encontrado</t>
        </is>
      </c>
      <c r="M9" s="2" t="inlineStr"/>
      <c r="N9" s="2" t="inlineStr"/>
      <c r="O9" s="3" t="inlineStr">
        <is>
          <t>Abrir prévia</t>
        </is>
      </c>
      <c r="P9" s="4" t="inlineStr">
        <is>
          <t>Oi, Mariana! Sou o [SEU NOME], da Downway. Acompanho seu conteúdo de direito de família aqui no Instagram e montei uma prévia de site para você, já seguindo as regras de publicidade da OAB (Provimento 205/2021): https://downway.com.br/demo/marianaregisadvogada/
Hoje, quem pesquisa "advogado de família em São Paulo" no Google encontra outros profissionais. Com o site, essa pessoa chega até você e já fala no WhatsApp. Posso mostrar como fica no ar?</t>
        </is>
      </c>
      <c r="Q9" s="4" t="inlineStr">
        <is>
          <t>Oi! Conseguiu ver a prévia do site? Se quiser, ajusto cores, fotos ou textos para ficar com a cara do seu trabalho. A prévia fica no ar por 7 dias.</t>
        </is>
      </c>
      <c r="R9" s="2" t="inlineStr">
        <is>
          <t>Novo</t>
        </is>
      </c>
      <c r="S9" s="5" t="n"/>
      <c r="T9" s="2" t="inlineStr"/>
      <c r="U9" s="4" t="inlineStr"/>
    </row>
    <row r="10" ht="96" customHeight="1">
      <c r="A10" s="2" t="n">
        <v>9</v>
      </c>
      <c r="B10" s="2" t="inlineStr">
        <is>
          <t>A</t>
        </is>
      </c>
      <c r="C10" s="2" t="n">
        <v>9</v>
      </c>
      <c r="D10" s="2" t="inlineStr">
        <is>
          <t>Profissional</t>
        </is>
      </c>
      <c r="E10" s="2" t="inlineStr">
        <is>
          <t>Advogado</t>
        </is>
      </c>
      <c r="F10" s="2" t="inlineStr">
        <is>
          <t>previdenciário</t>
        </is>
      </c>
      <c r="G10" s="2" t="inlineStr">
        <is>
          <t>Suzana de Amorim Advocacia</t>
        </is>
      </c>
      <c r="H10" s="3" t="inlineStr">
        <is>
          <t>@suzanadeamorim</t>
        </is>
      </c>
      <c r="I10" s="2" t="inlineStr">
        <is>
          <t>São Paulo</t>
        </is>
      </c>
      <c r="J10" s="2" t="n">
        <v>49000</v>
      </c>
      <c r="K10" s="2" t="inlineStr"/>
      <c r="L10" s="2" t="inlineStr">
        <is>
          <t>nao encontrado</t>
        </is>
      </c>
      <c r="M10" s="2" t="inlineStr"/>
      <c r="N10" s="2" t="inlineStr"/>
      <c r="O10" s="3" t="inlineStr">
        <is>
          <t>Abrir prévia</t>
        </is>
      </c>
      <c r="P10" s="4" t="inlineStr">
        <is>
          <t>Oi, Suzana! Sou o [SEU NOME], da Downway. Acompanho seu conteúdo de direito previdenciário aqui no Instagram e montei uma prévia de site para você, já seguindo as regras de publicidade da OAB (Provimento 205/2021): https://downway.com.br/demo/suzanadeamorim/
Hoje, quem pesquisa "advogado previdenciário em São Paulo" no Google encontra outros profissionais. Com o site, essa pessoa chega até você e já fala no WhatsApp. Posso mostrar como fica no ar?</t>
        </is>
      </c>
      <c r="Q10" s="4" t="inlineStr">
        <is>
          <t>Oi! Conseguiu ver a prévia do site? Se quiser, ajusto cores, fotos ou textos para ficar com a cara do seu trabalho. A prévia fica no ar por 7 dias.</t>
        </is>
      </c>
      <c r="R10" s="2" t="inlineStr">
        <is>
          <t>Novo</t>
        </is>
      </c>
      <c r="S10" s="5" t="n"/>
      <c r="T10" s="2" t="inlineStr"/>
      <c r="U10" s="4" t="inlineStr">
        <is>
          <t>Atende Brasil todo = site traz cliente de fora</t>
        </is>
      </c>
    </row>
    <row r="11" ht="96" customHeight="1">
      <c r="A11" s="2" t="n">
        <v>10</v>
      </c>
      <c r="B11" s="2" t="inlineStr">
        <is>
          <t>A</t>
        </is>
      </c>
      <c r="C11" s="2" t="n">
        <v>9</v>
      </c>
      <c r="D11" s="2" t="inlineStr">
        <is>
          <t>Profissional</t>
        </is>
      </c>
      <c r="E11" s="2" t="inlineStr">
        <is>
          <t>Advogado</t>
        </is>
      </c>
      <c r="F11" s="2" t="inlineStr">
        <is>
          <t>imobiliário</t>
        </is>
      </c>
      <c r="G11" s="2" t="inlineStr">
        <is>
          <t>Vanessa Leite Advocacia</t>
        </is>
      </c>
      <c r="H11" s="3" t="inlineStr">
        <is>
          <t>@vanessaleite_adv</t>
        </is>
      </c>
      <c r="I11" s="2" t="inlineStr">
        <is>
          <t>São Paulo</t>
        </is>
      </c>
      <c r="J11" s="2" t="n">
        <v>4621</v>
      </c>
      <c r="K11" s="2" t="inlineStr"/>
      <c r="L11" s="2" t="inlineStr">
        <is>
          <t>nao encontrado</t>
        </is>
      </c>
      <c r="M11" s="2" t="inlineStr"/>
      <c r="N11" s="2" t="inlineStr"/>
      <c r="O11" s="3" t="inlineStr">
        <is>
          <t>Abrir prévia</t>
        </is>
      </c>
      <c r="P11" s="4" t="inlineStr">
        <is>
          <t>Oi, Vanessa! Sou o [SEU NOME], da Downway. Acompanho seu conteúdo de direito imobiliário aqui no Instagram e montei uma prévia de site para você, já seguindo as regras de publicidade da OAB (Provimento 205/2021): https://downway.com.br/demo/vanessaleite-adv/
Hoje, quem pesquisa "advogado imobiliário em São Paulo" no Google encontra outros profissionais. Com o site, essa pessoa chega até você e já fala no WhatsApp. Posso mostrar como fica no ar?</t>
        </is>
      </c>
      <c r="Q11" s="4" t="inlineStr">
        <is>
          <t>Oi! Conseguiu ver a prévia do site? Se quiser, ajusto cores, fotos ou textos para ficar com a cara do seu trabalho. A prévia fica no ar por 7 dias.</t>
        </is>
      </c>
      <c r="R11" s="2" t="inlineStr">
        <is>
          <t>Novo</t>
        </is>
      </c>
      <c r="S11" s="5" t="n"/>
      <c r="T11" s="2" t="inlineStr"/>
      <c r="U11" s="4" t="inlineStr"/>
    </row>
    <row r="12" ht="96" customHeight="1">
      <c r="A12" s="2" t="n">
        <v>11</v>
      </c>
      <c r="B12" s="2" t="inlineStr">
        <is>
          <t>A</t>
        </is>
      </c>
      <c r="C12" s="2" t="n">
        <v>9</v>
      </c>
      <c r="D12" s="2" t="inlineStr">
        <is>
          <t>Profissional</t>
        </is>
      </c>
      <c r="E12" s="2" t="inlineStr">
        <is>
          <t>Advogado</t>
        </is>
      </c>
      <c r="F12" s="2" t="inlineStr">
        <is>
          <t>consumidor</t>
        </is>
      </c>
      <c r="G12" s="2" t="inlineStr">
        <is>
          <t>Victor Tosta Advocacia</t>
        </is>
      </c>
      <c r="H12" s="3" t="inlineStr">
        <is>
          <t>@advvictortosta</t>
        </is>
      </c>
      <c r="I12" s="2" t="inlineStr">
        <is>
          <t>São Paulo</t>
        </is>
      </c>
      <c r="J12" s="2" t="n">
        <v>6244</v>
      </c>
      <c r="K12" s="2" t="inlineStr"/>
      <c r="L12" s="2" t="inlineStr">
        <is>
          <t>nao encontrado</t>
        </is>
      </c>
      <c r="M12" s="2" t="inlineStr"/>
      <c r="N12" s="2" t="inlineStr"/>
      <c r="O12" s="3" t="inlineStr">
        <is>
          <t>Abrir prévia</t>
        </is>
      </c>
      <c r="P12" s="4" t="inlineStr">
        <is>
          <t>Oi, Victor! Sou o [SEU NOME], da Downway. Acompanho seu conteúdo de direito do consumidor aqui no Instagram e montei uma prévia de site para você, já seguindo as regras de publicidade da OAB (Provimento 205/2021): https://downway.com.br/demo/advvictortosta/
Hoje, quem pesquisa "advogado do consumidor em São Paulo" no Google encontra outros profissionais. Com o site, essa pessoa chega até você e já fala no WhatsApp. Posso mostrar como fica no ar?</t>
        </is>
      </c>
      <c r="Q12" s="4" t="inlineStr">
        <is>
          <t>Oi! Conseguiu ver a prévia do site? Se quiser, ajusto cores, fotos ou textos para ficar com a cara do seu trabalho. A prévia fica no ar por 7 dias.</t>
        </is>
      </c>
      <c r="R12" s="2" t="inlineStr">
        <is>
          <t>Novo</t>
        </is>
      </c>
      <c r="S12" s="5" t="n"/>
      <c r="T12" s="2" t="inlineStr"/>
      <c r="U12" s="4" t="inlineStr"/>
    </row>
    <row r="13" ht="96" customHeight="1">
      <c r="A13" s="2" t="n">
        <v>12</v>
      </c>
      <c r="B13" s="2" t="inlineStr">
        <is>
          <t>A</t>
        </is>
      </c>
      <c r="C13" s="2" t="n">
        <v>9</v>
      </c>
      <c r="D13" s="2" t="inlineStr">
        <is>
          <t>Profissional</t>
        </is>
      </c>
      <c r="E13" s="2" t="inlineStr">
        <is>
          <t>Dentista</t>
        </is>
      </c>
      <c r="F13" s="2" t="inlineStr">
        <is>
          <t>odontologia</t>
        </is>
      </c>
      <c r="G13" s="2" t="inlineStr">
        <is>
          <t>Prez Odonto Tatuapé</t>
        </is>
      </c>
      <c r="H13" s="3" t="inlineStr">
        <is>
          <t>@prezodonto</t>
        </is>
      </c>
      <c r="I13" s="2" t="inlineStr">
        <is>
          <t>Tatuapé</t>
        </is>
      </c>
      <c r="J13" s="2" t="n">
        <v>10000</v>
      </c>
      <c r="K13" s="2" t="inlineStr"/>
      <c r="L13" s="2" t="inlineStr">
        <is>
          <t>nao encontrado</t>
        </is>
      </c>
      <c r="M13" s="2" t="inlineStr"/>
      <c r="N13" s="2" t="inlineStr"/>
      <c r="O13" s="3" t="inlineStr">
        <is>
          <t>Abrir prévia</t>
        </is>
      </c>
      <c r="P13" s="4" t="inlineStr">
        <is>
          <t>Oi, pessoal da Prez Odonto Tatuapé! Sou o [SEU NOME], da Downway. Acompanho o conteúdo de vocês de odontologia aqui no Instagram e montei uma prévia de site para a Prez Odonto Tatuapé, já com CRO e responsável técnico em destaque: https://downway.com.br/demo/prezodonto/
Hoje, quem pesquisa "dentista no Tatuapé" no Google encontra outros profissionais. Com o site, essa pessoa chega até vocês e já fala no WhatsApp. Posso mostrar como fica no ar?</t>
        </is>
      </c>
      <c r="Q13" s="4" t="inlineStr">
        <is>
          <t>Oi! Conseguiu ver a prévia do site? Se quiser, ajusto cores, fotos ou textos para ficar com a cara do seu trabalho. A prévia fica no ar por 7 dias.</t>
        </is>
      </c>
      <c r="R13" s="2" t="inlineStr">
        <is>
          <t>Novo</t>
        </is>
      </c>
      <c r="S13" s="5" t="n"/>
      <c r="T13" s="2" t="inlineStr"/>
      <c r="U13" s="4" t="inlineStr"/>
    </row>
    <row r="14" ht="96" customHeight="1">
      <c r="A14" s="2" t="n">
        <v>13</v>
      </c>
      <c r="B14" s="2" t="inlineStr">
        <is>
          <t>A</t>
        </is>
      </c>
      <c r="C14" s="2" t="n">
        <v>9</v>
      </c>
      <c r="D14" s="2" t="inlineStr">
        <is>
          <t>Profissional</t>
        </is>
      </c>
      <c r="E14" s="2" t="inlineStr">
        <is>
          <t>Médico</t>
        </is>
      </c>
      <c r="F14" s="2" t="inlineStr">
        <is>
          <t>cardiologia</t>
        </is>
      </c>
      <c r="G14" s="2" t="inlineStr">
        <is>
          <t>Dr. Lucas Trindade</t>
        </is>
      </c>
      <c r="H14" s="3" t="inlineStr">
        <is>
          <t>@drlucastrindade</t>
        </is>
      </c>
      <c r="I14" s="2" t="inlineStr">
        <is>
          <t>Itaim Bibi</t>
        </is>
      </c>
      <c r="J14" s="2" t="n"/>
      <c r="K14" s="2" t="inlineStr">
        <is>
          <t>CRM-SP 168.448</t>
        </is>
      </c>
      <c r="L14" s="2" t="inlineStr">
        <is>
          <t>nao encontrado</t>
        </is>
      </c>
      <c r="M14" s="2" t="inlineStr"/>
      <c r="N14" s="2" t="inlineStr"/>
      <c r="O14" s="3" t="inlineStr">
        <is>
          <t>Abrir prévia</t>
        </is>
      </c>
      <c r="P14" s="4" t="inlineStr">
        <is>
          <t>Oi, Dr. Lucas! Sou o [SEU NOME], da Downway. Acompanho seu conteúdo de cardiologia aqui no Instagram e montei uma prévia de site para você, já seguindo a resolução de publicidade médica do CFM (2.336/2023): https://downway.com.br/demo/drlucastrindade/
Hoje, quem pesquisa "cardiologista no Itaim" no Google encontra outros profissionais. Com o site, essa pessoa chega até você e já fala no WhatsApp. Posso mostrar como fica no ar?</t>
        </is>
      </c>
      <c r="Q14" s="4" t="inlineStr">
        <is>
          <t>Oi! Conseguiu ver a prévia do site? Se quiser, ajusto cores, fotos ou textos para ficar com a cara do seu trabalho. A prévia fica no ar por 7 dias.</t>
        </is>
      </c>
      <c r="R14" s="2" t="inlineStr">
        <is>
          <t>Novo</t>
        </is>
      </c>
      <c r="S14" s="5" t="n"/>
      <c r="T14" s="2" t="inlineStr"/>
      <c r="U14" s="4" t="inlineStr"/>
    </row>
    <row r="15" ht="96" customHeight="1">
      <c r="A15" s="2" t="n">
        <v>14</v>
      </c>
      <c r="B15" s="2" t="inlineStr">
        <is>
          <t>A</t>
        </is>
      </c>
      <c r="C15" s="2" t="n">
        <v>9</v>
      </c>
      <c r="D15" s="2" t="inlineStr">
        <is>
          <t>Profissional</t>
        </is>
      </c>
      <c r="E15" s="2" t="inlineStr">
        <is>
          <t>Médico</t>
        </is>
      </c>
      <c r="F15" s="2" t="inlineStr">
        <is>
          <t>dermatologia</t>
        </is>
      </c>
      <c r="G15" s="2" t="inlineStr">
        <is>
          <t>Dra. Carmem Durazzo</t>
        </is>
      </c>
      <c r="H15" s="3" t="inlineStr">
        <is>
          <t>@carmemdermatologista</t>
        </is>
      </c>
      <c r="I15" s="2" t="inlineStr">
        <is>
          <t>São Paulo</t>
        </is>
      </c>
      <c r="J15" s="2" t="n"/>
      <c r="K15" s="2" t="inlineStr">
        <is>
          <t>CRM 59801 · RQE 45813</t>
        </is>
      </c>
      <c r="L15" s="2" t="inlineStr">
        <is>
          <t>nao encontrado</t>
        </is>
      </c>
      <c r="M15" s="2" t="inlineStr"/>
      <c r="N15" s="2" t="inlineStr"/>
      <c r="O15" s="3" t="inlineStr">
        <is>
          <t>Abrir prévia</t>
        </is>
      </c>
      <c r="P15" s="4" t="inlineStr">
        <is>
          <t>Oi, Dra. Carmem! Sou o [SEU NOME], da Downway. Acompanho seu conteúdo de dermatologia aqui no Instagram e montei uma prévia de site para você, já seguindo a resolução de publicidade médica do CFM (2.336/2023): https://downway.com.br/demo/carmemdermatologista/
Hoje, quem pesquisa "dermatologista em São Paulo" no Google encontra outros profissionais. Com o site, essa pessoa chega até você e já fala no WhatsApp. Posso mostrar como fica no ar?</t>
        </is>
      </c>
      <c r="Q15" s="4" t="inlineStr">
        <is>
          <t>Oi! Conseguiu ver a prévia do site? Se quiser, ajusto cores, fotos ou textos para ficar com a cara do seu trabalho. A prévia fica no ar por 7 dias.</t>
        </is>
      </c>
      <c r="R15" s="2" t="inlineStr">
        <is>
          <t>Novo</t>
        </is>
      </c>
      <c r="S15" s="5" t="n"/>
      <c r="T15" s="2" t="inlineStr"/>
      <c r="U15" s="4" t="inlineStr"/>
    </row>
    <row r="16" ht="96" customHeight="1">
      <c r="A16" s="2" t="n">
        <v>15</v>
      </c>
      <c r="B16" s="2" t="inlineStr">
        <is>
          <t>A</t>
        </is>
      </c>
      <c r="C16" s="2" t="n">
        <v>9</v>
      </c>
      <c r="D16" s="2" t="inlineStr">
        <is>
          <t>Profissional</t>
        </is>
      </c>
      <c r="E16" s="2" t="inlineStr">
        <is>
          <t>Médico</t>
        </is>
      </c>
      <c r="F16" s="2" t="inlineStr">
        <is>
          <t>endocrinologia</t>
        </is>
      </c>
      <c r="G16" s="2" t="inlineStr">
        <is>
          <t>Dra. Paula Pires Giacomini</t>
        </is>
      </c>
      <c r="H16" s="3" t="inlineStr">
        <is>
          <t>@drapaulapires</t>
        </is>
      </c>
      <c r="I16" s="2" t="inlineStr">
        <is>
          <t>São Paulo</t>
        </is>
      </c>
      <c r="J16" s="2" t="n"/>
      <c r="K16" s="2" t="inlineStr">
        <is>
          <t>CRM 138809 · RQE 47818</t>
        </is>
      </c>
      <c r="L16" s="2" t="inlineStr">
        <is>
          <t>nao encontrado</t>
        </is>
      </c>
      <c r="M16" s="2" t="inlineStr"/>
      <c r="N16" s="2" t="inlineStr"/>
      <c r="O16" s="3" t="inlineStr">
        <is>
          <t>Abrir prévia</t>
        </is>
      </c>
      <c r="P16" s="4" t="inlineStr">
        <is>
          <t>Oi, Dra. Paula! Sou o [SEU NOME], da Downway. Acompanho seu conteúdo de endocrinologia aqui no Instagram e montei uma prévia de site para você, já seguindo a resolução de publicidade médica do CFM (2.336/2023): https://downway.com.br/demo/drapaulapires/
Hoje, quem pesquisa "endocrinologista em São Paulo" no Google encontra outros profissionais. Com o site, essa pessoa chega até você e já fala no WhatsApp. Posso mostrar como fica no ar?</t>
        </is>
      </c>
      <c r="Q16" s="4" t="inlineStr">
        <is>
          <t>Oi! Conseguiu ver a prévia do site? Se quiser, ajusto cores, fotos ou textos para ficar com a cara do seu trabalho. A prévia fica no ar por 7 dias.</t>
        </is>
      </c>
      <c r="R16" s="2" t="inlineStr">
        <is>
          <t>Novo</t>
        </is>
      </c>
      <c r="S16" s="5" t="n"/>
      <c r="T16" s="2" t="inlineStr"/>
      <c r="U16" s="4" t="inlineStr"/>
    </row>
    <row r="17" ht="96" customHeight="1">
      <c r="A17" s="2" t="n">
        <v>16</v>
      </c>
      <c r="B17" s="2" t="inlineStr">
        <is>
          <t>A</t>
        </is>
      </c>
      <c r="C17" s="2" t="n">
        <v>9</v>
      </c>
      <c r="D17" s="2" t="inlineStr">
        <is>
          <t>Profissional</t>
        </is>
      </c>
      <c r="E17" s="2" t="inlineStr">
        <is>
          <t>Nutricionista</t>
        </is>
      </c>
      <c r="F17" s="2" t="inlineStr">
        <is>
          <t>nutrição infantil</t>
        </is>
      </c>
      <c r="G17" s="2" t="inlineStr">
        <is>
          <t>Paula Stancari Nutrição Materno-Infantil</t>
        </is>
      </c>
      <c r="H17" s="3" t="inlineStr">
        <is>
          <t>@nutripaulastancari</t>
        </is>
      </c>
      <c r="I17" s="2" t="inlineStr">
        <is>
          <t>Vila Mariana</t>
        </is>
      </c>
      <c r="J17" s="2" t="n"/>
      <c r="K17" s="2" t="inlineStr"/>
      <c r="L17" s="2" t="inlineStr">
        <is>
          <t>nao encontrado</t>
        </is>
      </c>
      <c r="M17" s="2" t="inlineStr"/>
      <c r="N17" s="2" t="inlineStr"/>
      <c r="O17" s="3" t="inlineStr">
        <is>
          <t>Abrir prévia</t>
        </is>
      </c>
      <c r="P17" s="4" t="inlineStr">
        <is>
          <t>Oi, Paula! Sou o [SEU NOME], da Downway. Acompanho seu conteúdo de nutrição materno-infantil aqui no Instagram e montei uma prévia de site para você, já com o CRN em destaque e dentro das regras do conselho: https://downway.com.br/demo/nutripaulastancari/
Hoje, quem pesquisa "nutricionista infantil em São Paulo" no Google encontra outros profissionais. Com o site, essa pessoa chega até você e já fala no WhatsApp. Posso mostrar como fica no ar?</t>
        </is>
      </c>
      <c r="Q17" s="4" t="inlineStr">
        <is>
          <t>Oi! Conseguiu ver a prévia do site? Se quiser, ajusto cores, fotos ou textos para ficar com a cara do seu trabalho. A prévia fica no ar por 7 dias.</t>
        </is>
      </c>
      <c r="R17" s="2" t="inlineStr">
        <is>
          <t>Novo</t>
        </is>
      </c>
      <c r="S17" s="5" t="n"/>
      <c r="T17" s="2" t="inlineStr"/>
      <c r="U17" s="4" t="inlineStr">
        <is>
          <t>Endereço: R. Cubatão, 929</t>
        </is>
      </c>
    </row>
    <row r="18" ht="96" customHeight="1">
      <c r="A18" s="2" t="n">
        <v>17</v>
      </c>
      <c r="B18" s="2" t="inlineStr">
        <is>
          <t>A</t>
        </is>
      </c>
      <c r="C18" s="2" t="n">
        <v>9</v>
      </c>
      <c r="D18" s="2" t="inlineStr">
        <is>
          <t>Profissional</t>
        </is>
      </c>
      <c r="E18" s="2" t="inlineStr">
        <is>
          <t>Nutricionista</t>
        </is>
      </c>
      <c r="F18" s="2" t="inlineStr">
        <is>
          <t>nutrição</t>
        </is>
      </c>
      <c r="G18" s="2" t="inlineStr">
        <is>
          <t>Tainá Carvalho Nutricionista</t>
        </is>
      </c>
      <c r="H18" s="3" t="inlineStr">
        <is>
          <t>@nutricionistaesportivo_taina</t>
        </is>
      </c>
      <c r="I18" s="2" t="inlineStr">
        <is>
          <t>São Paulo</t>
        </is>
      </c>
      <c r="J18" s="2" t="n"/>
      <c r="K18" s="2" t="inlineStr">
        <is>
          <t>CRN 34890</t>
        </is>
      </c>
      <c r="L18" s="2" t="inlineStr">
        <is>
          <t>nao encontrado</t>
        </is>
      </c>
      <c r="M18" s="2" t="inlineStr"/>
      <c r="N18" s="2" t="inlineStr"/>
      <c r="O18" s="3" t="inlineStr">
        <is>
          <t>Abrir prévia</t>
        </is>
      </c>
      <c r="P18" s="4" t="inlineStr">
        <is>
          <t>Oi, Tainá! Sou o [SEU NOME], da Downway. Acompanho seu conteúdo de nutrição aqui no Instagram e montei uma prévia de site para você, já com o CRN em destaque e dentro das regras do conselho: https://downway.com.br/demo/nutricionistaesportivo-taina/
Hoje, quem pesquisa "nutricionista em São Paulo" no Google encontra outros profissionais. Com o site, essa pessoa chega até você e já fala no WhatsApp. Posso mostrar como fica no ar?</t>
        </is>
      </c>
      <c r="Q18" s="4" t="inlineStr">
        <is>
          <t>Oi! Conseguiu ver a prévia do site? Se quiser, ajusto cores, fotos ou textos para ficar com a cara do seu trabalho. A prévia fica no ar por 7 dias.</t>
        </is>
      </c>
      <c r="R18" s="2" t="inlineStr">
        <is>
          <t>Novo</t>
        </is>
      </c>
      <c r="S18" s="5" t="n"/>
      <c r="T18" s="2" t="inlineStr"/>
      <c r="U18" s="4" t="inlineStr"/>
    </row>
    <row r="19" ht="96" customHeight="1">
      <c r="A19" s="2" t="n">
        <v>18</v>
      </c>
      <c r="B19" s="2" t="inlineStr">
        <is>
          <t>A</t>
        </is>
      </c>
      <c r="C19" s="2" t="n">
        <v>9</v>
      </c>
      <c r="D19" s="2" t="inlineStr">
        <is>
          <t>Profissional</t>
        </is>
      </c>
      <c r="E19" s="2" t="inlineStr">
        <is>
          <t>Psicólogo</t>
        </is>
      </c>
      <c r="F19" s="2" t="inlineStr">
        <is>
          <t>psicologia</t>
        </is>
      </c>
      <c r="G19" s="2" t="inlineStr">
        <is>
          <t>Beatriz Sampaio Arraes Psicóloga</t>
        </is>
      </c>
      <c r="H19" s="3" t="inlineStr">
        <is>
          <t>@psicologadeplantao</t>
        </is>
      </c>
      <c r="I19" s="2" t="inlineStr">
        <is>
          <t>São Paulo</t>
        </is>
      </c>
      <c r="J19" s="2" t="n"/>
      <c r="K19" s="2" t="inlineStr">
        <is>
          <t>CRP 06/145121</t>
        </is>
      </c>
      <c r="L19" s="2" t="inlineStr">
        <is>
          <t>nao encontrado</t>
        </is>
      </c>
      <c r="M19" s="2" t="inlineStr"/>
      <c r="N19" s="2" t="inlineStr"/>
      <c r="O19" s="3" t="inlineStr">
        <is>
          <t>Abrir prévia</t>
        </is>
      </c>
      <c r="P19" s="4" t="inlineStr">
        <is>
          <t>Oi, Beatriz! Sou o [SEU NOME], da Downway. Acompanho seu conteúdo de psicologia aqui no Instagram e montei uma prévia de site para você, já dentro do código de ética do CFP: https://downway.com.br/demo/psicologadeplantao/
Hoje, quem pesquisa "psicóloga em São Paulo" no Google encontra outros profissionais. Com o site, essa pessoa chega até você e já fala no WhatsApp. Posso mostrar como fica no ar?</t>
        </is>
      </c>
      <c r="Q19" s="4" t="inlineStr">
        <is>
          <t>Oi! Conseguiu ver a prévia do site? Se quiser, ajusto cores, fotos ou textos para ficar com a cara do seu trabalho. A prévia fica no ar por 7 dias.</t>
        </is>
      </c>
      <c r="R19" s="2" t="inlineStr">
        <is>
          <t>Novo</t>
        </is>
      </c>
      <c r="S19" s="5" t="n"/>
      <c r="T19" s="2" t="inlineStr"/>
      <c r="U19" s="4" t="inlineStr"/>
    </row>
    <row r="20" ht="96" customHeight="1">
      <c r="A20" s="2" t="n">
        <v>19</v>
      </c>
      <c r="B20" s="2" t="inlineStr">
        <is>
          <t>A</t>
        </is>
      </c>
      <c r="C20" s="2" t="n">
        <v>9</v>
      </c>
      <c r="D20" s="2" t="inlineStr">
        <is>
          <t>Profissional</t>
        </is>
      </c>
      <c r="E20" s="2" t="inlineStr">
        <is>
          <t>Psicólogo</t>
        </is>
      </c>
      <c r="F20" s="2" t="inlineStr">
        <is>
          <t>psicologia</t>
        </is>
      </c>
      <c r="G20" s="2" t="inlineStr">
        <is>
          <t>Clínica Internaliza Psicologia</t>
        </is>
      </c>
      <c r="H20" s="3" t="inlineStr">
        <is>
          <t>@internalizapsicologia</t>
        </is>
      </c>
      <c r="I20" s="2" t="inlineStr">
        <is>
          <t>São Paulo</t>
        </is>
      </c>
      <c r="J20" s="2" t="n"/>
      <c r="K20" s="2" t="inlineStr">
        <is>
          <t>CRP 06/11127/J</t>
        </is>
      </c>
      <c r="L20" s="2" t="inlineStr">
        <is>
          <t>nao encontrado</t>
        </is>
      </c>
      <c r="M20" s="2" t="inlineStr"/>
      <c r="N20" s="2" t="inlineStr"/>
      <c r="O20" s="3" t="inlineStr">
        <is>
          <t>Abrir prévia</t>
        </is>
      </c>
      <c r="P20" s="4" t="inlineStr">
        <is>
          <t>Oi, pessoal da Clínica Internaliza Psicologia! Sou o [SEU NOME], da Downway. Acompanho o conteúdo de vocês de psicologia aqui no Instagram e montei uma prévia de site para a Clínica Internaliza Psicologia, já dentro do código de ética do CFP: https://downway.com.br/demo/internalizapsicologia/
Hoje, quem pesquisa "psicóloga em São Paulo" no Google encontra outros profissionais. Com o site, essa pessoa chega até vocês e já fala no WhatsApp. Posso mostrar como fica no ar?</t>
        </is>
      </c>
      <c r="Q20" s="4" t="inlineStr">
        <is>
          <t>Oi! Conseguiu ver a prévia do site? Se quiser, ajusto cores, fotos ou textos para ficar com a cara do seu trabalho. A prévia fica no ar por 7 dias.</t>
        </is>
      </c>
      <c r="R20" s="2" t="inlineStr">
        <is>
          <t>Novo</t>
        </is>
      </c>
      <c r="S20" s="5" t="n"/>
      <c r="T20" s="2" t="inlineStr"/>
      <c r="U20" s="4" t="inlineStr"/>
    </row>
    <row r="21" ht="96" customHeight="1">
      <c r="A21" s="2" t="n">
        <v>20</v>
      </c>
      <c r="B21" s="2" t="inlineStr">
        <is>
          <t>A</t>
        </is>
      </c>
      <c r="C21" s="2" t="n">
        <v>9</v>
      </c>
      <c r="D21" s="2" t="inlineStr">
        <is>
          <t>Profissional</t>
        </is>
      </c>
      <c r="E21" s="2" t="inlineStr">
        <is>
          <t>Quiropraxia/Fisio</t>
        </is>
      </c>
      <c r="F21" s="2" t="inlineStr">
        <is>
          <t>quiropraxia</t>
        </is>
      </c>
      <c r="G21" s="2" t="inlineStr">
        <is>
          <t>SPQuiro Clínica de Quiropraxia</t>
        </is>
      </c>
      <c r="H21" s="3" t="inlineStr">
        <is>
          <t>@sp.quiro</t>
        </is>
      </c>
      <c r="I21" s="2" t="inlineStr">
        <is>
          <t>Zona Norte</t>
        </is>
      </c>
      <c r="J21" s="2" t="n"/>
      <c r="K21" s="2" t="inlineStr"/>
      <c r="L21" s="2" t="inlineStr">
        <is>
          <t>nao encontrado</t>
        </is>
      </c>
      <c r="M21" s="2" t="inlineStr"/>
      <c r="N21" s="2" t="inlineStr"/>
      <c r="O21" s="3" t="inlineStr">
        <is>
          <t>Abrir prévia</t>
        </is>
      </c>
      <c r="P21" s="4" t="inlineStr">
        <is>
          <t>Oi, pessoal da SPQuiro Clínica de Quiropraxia! Sou o [SEU NOME], da Downway. Acompanho o conteúdo de vocês de quiropraxia aqui no Instagram e montei uma prévia de site para a SPQuiro Clínica de Quiropraxia, com agendamento direto pelo WhatsApp: https://downway.com.br/demo/sp-quiro/
Hoje, quem pesquisa "quiropraxia na zona norte" no Google encontra outros profissionais. Com o site, essa pessoa chega até vocês e já fala no WhatsApp. Posso mostrar como fica no ar?</t>
        </is>
      </c>
      <c r="Q21" s="4" t="inlineStr">
        <is>
          <t>Oi! Conseguiu ver a prévia do site? Se quiser, ajusto cores, fotos ou textos para ficar com a cara do seu trabalho. A prévia fica no ar por 7 dias.</t>
        </is>
      </c>
      <c r="R21" s="2" t="inlineStr">
        <is>
          <t>Novo</t>
        </is>
      </c>
      <c r="S21" s="5" t="n"/>
      <c r="T21" s="2" t="inlineStr"/>
      <c r="U21" s="4" t="inlineStr">
        <is>
          <t>Endereço: R. Maria Amália Lopes de Azevedo, 250, sala 02</t>
        </is>
      </c>
    </row>
    <row r="22" ht="96" customHeight="1">
      <c r="A22" s="2" t="n">
        <v>21</v>
      </c>
      <c r="B22" s="2" t="inlineStr">
        <is>
          <t>A</t>
        </is>
      </c>
      <c r="C22" s="2" t="n">
        <v>8</v>
      </c>
      <c r="D22" s="2" t="inlineStr">
        <is>
          <t>Profissional</t>
        </is>
      </c>
      <c r="E22" s="2" t="inlineStr">
        <is>
          <t>Advogado</t>
        </is>
      </c>
      <c r="F22" s="2" t="inlineStr">
        <is>
          <t>previdenciário</t>
        </is>
      </c>
      <c r="G22" s="2" t="inlineStr">
        <is>
          <t>Fernanda Diniz Advocacia Previdenciária</t>
        </is>
      </c>
      <c r="H22" s="3" t="inlineStr">
        <is>
          <t>@fernandadinizprev</t>
        </is>
      </c>
      <c r="I22" s="2" t="inlineStr">
        <is>
          <t>São Paulo</t>
        </is>
      </c>
      <c r="J22" s="2" t="n"/>
      <c r="K22" s="2" t="inlineStr"/>
      <c r="L22" s="2" t="inlineStr">
        <is>
          <t>nao encontrado</t>
        </is>
      </c>
      <c r="M22" s="2" t="inlineStr"/>
      <c r="N22" s="2" t="inlineStr"/>
      <c r="O22" s="3" t="inlineStr">
        <is>
          <t>Abrir prévia</t>
        </is>
      </c>
      <c r="P22" s="4" t="inlineStr">
        <is>
          <t>Oi, Fernanda! Sou o [SEU NOME], da Downway. Acompanho seu conteúdo de direito previdenciário aqui no Instagram e montei uma prévia de site para você, já seguindo as regras de publicidade da OAB (Provimento 205/2021): https://downway.com.br/demo/fernandadinizprev/
Hoje, quem pesquisa "advogado previdenciário em São Paulo" no Google encontra outros profissionais. Com o site, essa pessoa chega até você e já fala no WhatsApp. Posso mostrar como fica no ar?</t>
        </is>
      </c>
      <c r="Q22" s="4" t="inlineStr">
        <is>
          <t>Oi! Conseguiu ver a prévia do site? Se quiser, ajusto cores, fotos ou textos para ficar com a cara do seu trabalho. A prévia fica no ar por 7 dias.</t>
        </is>
      </c>
      <c r="R22" s="2" t="inlineStr">
        <is>
          <t>Novo</t>
        </is>
      </c>
      <c r="S22" s="5" t="n"/>
      <c r="T22" s="2" t="inlineStr"/>
      <c r="U22" s="4" t="inlineStr"/>
    </row>
    <row r="23" ht="96" customHeight="1">
      <c r="A23" s="2" t="n">
        <v>22</v>
      </c>
      <c r="B23" s="2" t="inlineStr">
        <is>
          <t>A</t>
        </is>
      </c>
      <c r="C23" s="2" t="n">
        <v>8</v>
      </c>
      <c r="D23" s="2" t="inlineStr">
        <is>
          <t>Negócio local</t>
        </is>
      </c>
      <c r="E23" s="2" t="inlineStr">
        <is>
          <t>Barbearia</t>
        </is>
      </c>
      <c r="F23" s="2" t="inlineStr">
        <is>
          <t>barbearia</t>
        </is>
      </c>
      <c r="G23" s="2" t="inlineStr">
        <is>
          <t>Barbearia Lacerda</t>
        </is>
      </c>
      <c r="H23" s="3" t="inlineStr">
        <is>
          <t>@barbearialacerda</t>
        </is>
      </c>
      <c r="I23" s="2" t="inlineStr">
        <is>
          <t>Mooca</t>
        </is>
      </c>
      <c r="J23" s="2" t="n">
        <v>3186</v>
      </c>
      <c r="K23" s="2" t="inlineStr"/>
      <c r="L23" s="2" t="inlineStr">
        <is>
          <t>nao encontrado</t>
        </is>
      </c>
      <c r="M23" s="2" t="inlineStr"/>
      <c r="N23" s="2" t="inlineStr"/>
      <c r="O23" s="3" t="inlineStr">
        <is>
          <t>Abrir prévia</t>
        </is>
      </c>
      <c r="P23" s="4" t="inlineStr">
        <is>
          <t>Oi, pessoal da Barbearia Lacerda! Sou o [SEU NOME], da Downway. Curto muito o trabalho de vocês aqui no Instagram. Montei uma prévia de site para a Barbearia Lacerda só para vocês verem como fica: https://downway.com.br/demo/barbearialacerda/
Quem procura "barbearia Mooca" no Google cai nos concorrentes. Com o site, cai em vocês e já chama no WhatsApp. Abre no celular e me diz o que achou?</t>
        </is>
      </c>
      <c r="Q23" s="4" t="inlineStr">
        <is>
          <t>Oi! Conseguiu ver a prévia do site? Se quiser, ajusto cores, fotos ou textos para ficar com a cara de vocês. A prévia fica no ar por 7 dias.</t>
        </is>
      </c>
      <c r="R23" s="2" t="inlineStr">
        <is>
          <t>Novo</t>
        </is>
      </c>
      <c r="S23" s="5" t="n"/>
      <c r="T23" s="2" t="inlineStr"/>
      <c r="U23" s="4" t="inlineStr"/>
    </row>
    <row r="24" ht="96" customHeight="1">
      <c r="A24" s="2" t="n">
        <v>23</v>
      </c>
      <c r="B24" s="2" t="inlineStr">
        <is>
          <t>A</t>
        </is>
      </c>
      <c r="C24" s="2" t="n">
        <v>8</v>
      </c>
      <c r="D24" s="2" t="inlineStr">
        <is>
          <t>Negócio local</t>
        </is>
      </c>
      <c r="E24" s="2" t="inlineStr">
        <is>
          <t>Hamburgueria</t>
        </is>
      </c>
      <c r="F24" s="2" t="inlineStr">
        <is>
          <t>hamburgueria</t>
        </is>
      </c>
      <c r="G24" s="2" t="inlineStr">
        <is>
          <t>Smash Burger do Cheff</t>
        </is>
      </c>
      <c r="H24" s="3" t="inlineStr">
        <is>
          <t>@smashburguerdocheff</t>
        </is>
      </c>
      <c r="I24" s="2" t="inlineStr">
        <is>
          <t>Perus</t>
        </is>
      </c>
      <c r="J24" s="2" t="n">
        <v>26000</v>
      </c>
      <c r="K24" s="2" t="inlineStr"/>
      <c r="L24" s="2" t="inlineStr">
        <is>
          <t>nao encontrado</t>
        </is>
      </c>
      <c r="M24" s="2" t="inlineStr"/>
      <c r="N24" s="2" t="inlineStr"/>
      <c r="O24" s="3" t="inlineStr">
        <is>
          <t>Abrir prévia</t>
        </is>
      </c>
      <c r="P24" s="4" t="inlineStr">
        <is>
          <t>Oi, pessoal da Smash Burger do Cheff! Sou o [SEU NOME], da Downway. Curto muito o trabalho de vocês aqui no Instagram. Montei uma prévia de site para a Smash Burger do Cheff só para vocês verem como fica: https://downway.com.br/demo/smashburguerdocheff/
Quem procura "hamburgueria Perus" no Google cai nos concorrentes. Com o site, cai em vocês e já chama no WhatsApp. Abre no celular e me diz o que achou?</t>
        </is>
      </c>
      <c r="Q24" s="4" t="inlineStr">
        <is>
          <t>Oi! Conseguiu ver a prévia do site? Se quiser, ajusto cores, fotos ou textos para ficar com a cara de vocês. A prévia fica no ar por 7 dias.</t>
        </is>
      </c>
      <c r="R24" s="2" t="inlineStr">
        <is>
          <t>Novo</t>
        </is>
      </c>
      <c r="S24" s="5" t="n"/>
      <c r="T24" s="2" t="inlineStr"/>
      <c r="U24" s="4" t="inlineStr">
        <is>
          <t>Perfil grande sem site = alvo forte</t>
        </is>
      </c>
    </row>
    <row r="25" ht="96" customHeight="1">
      <c r="A25" s="2" t="n">
        <v>24</v>
      </c>
      <c r="B25" s="2" t="inlineStr">
        <is>
          <t>A</t>
        </is>
      </c>
      <c r="C25" s="2" t="n">
        <v>8</v>
      </c>
      <c r="D25" s="2" t="inlineStr">
        <is>
          <t>Negócio local</t>
        </is>
      </c>
      <c r="E25" s="2" t="inlineStr">
        <is>
          <t>Hamburgueria</t>
        </is>
      </c>
      <c r="F25" s="2" t="inlineStr">
        <is>
          <t>hamburgueria</t>
        </is>
      </c>
      <c r="G25" s="2" t="inlineStr">
        <is>
          <t>Smash Burger e Bar (Winner)</t>
        </is>
      </c>
      <c r="H25" s="3" t="inlineStr">
        <is>
          <t>@winnerburger</t>
        </is>
      </c>
      <c r="I25" s="2" t="inlineStr">
        <is>
          <t>Vila Mascote</t>
        </is>
      </c>
      <c r="J25" s="2" t="n">
        <v>7980</v>
      </c>
      <c r="K25" s="2" t="inlineStr"/>
      <c r="L25" s="2" t="inlineStr">
        <is>
          <t>nao encontrado</t>
        </is>
      </c>
      <c r="M25" s="2" t="inlineStr"/>
      <c r="N25" s="2" t="inlineStr"/>
      <c r="O25" s="3" t="inlineStr">
        <is>
          <t>Abrir prévia</t>
        </is>
      </c>
      <c r="P25" s="4" t="inlineStr">
        <is>
          <t>Oi, pessoal da Smash Burger e Bar (Winner)! Sou o [SEU NOME], da Downway. Curto muito o trabalho de vocês aqui no Instagram. Montei uma prévia de site para a Smash Burger e Bar (Winner) só para vocês verem como fica: https://downway.com.br/demo/winnerburger/
Quem procura "hamburgueria Vila Mascote" no Google cai nos concorrentes. Com o site, cai em vocês e já chama no WhatsApp. Abre no celular e me diz o que achou?</t>
        </is>
      </c>
      <c r="Q25" s="4" t="inlineStr">
        <is>
          <t>Oi! Conseguiu ver a prévia do site? Se quiser, ajusto cores, fotos ou textos para ficar com a cara de vocês. A prévia fica no ar por 7 dias.</t>
        </is>
      </c>
      <c r="R25" s="2" t="inlineStr">
        <is>
          <t>Novo</t>
        </is>
      </c>
      <c r="S25" s="5" t="n"/>
      <c r="T25" s="2" t="inlineStr"/>
      <c r="U25" s="4" t="inlineStr"/>
    </row>
    <row r="26" ht="96" customHeight="1">
      <c r="A26" s="2" t="n">
        <v>25</v>
      </c>
      <c r="B26" s="2" t="inlineStr">
        <is>
          <t>A</t>
        </is>
      </c>
      <c r="C26" s="2" t="n">
        <v>8</v>
      </c>
      <c r="D26" s="2" t="inlineStr">
        <is>
          <t>Profissional</t>
        </is>
      </c>
      <c r="E26" s="2" t="inlineStr">
        <is>
          <t>Nutricionista</t>
        </is>
      </c>
      <c r="F26" s="2" t="inlineStr">
        <is>
          <t>nutrição</t>
        </is>
      </c>
      <c r="G26" s="2" t="inlineStr">
        <is>
          <t>Patricia Davidson Nutricionista</t>
        </is>
      </c>
      <c r="H26" s="3" t="inlineStr">
        <is>
          <t>@patriciadavidson.nutri</t>
        </is>
      </c>
      <c r="I26" s="2" t="inlineStr">
        <is>
          <t>São Paulo</t>
        </is>
      </c>
      <c r="J26" s="2" t="n"/>
      <c r="K26" s="2" t="inlineStr"/>
      <c r="L26" s="2" t="inlineStr">
        <is>
          <t>nao encontrado</t>
        </is>
      </c>
      <c r="M26" s="2" t="inlineStr"/>
      <c r="N26" s="2" t="inlineStr"/>
      <c r="O26" s="3" t="inlineStr">
        <is>
          <t>Abrir prévia</t>
        </is>
      </c>
      <c r="P26" s="4" t="inlineStr">
        <is>
          <t>Oi, Patricia! Sou o [SEU NOME], da Downway. Acompanho seu conteúdo de nutrição aqui no Instagram e montei uma prévia de site para você, já com o CRN em destaque e dentro das regras do conselho: https://downway.com.br/demo/patriciadavidson-nutri/
Hoje, quem pesquisa "nutricionista em São Paulo" no Google encontra outros profissionais. Com o site, essa pessoa chega até você e já fala no WhatsApp. Posso mostrar como fica no ar?</t>
        </is>
      </c>
      <c r="Q26" s="4" t="inlineStr">
        <is>
          <t>Oi! Conseguiu ver a prévia do site? Se quiser, ajusto cores, fotos ou textos para ficar com a cara do seu trabalho. A prévia fica no ar por 7 dias.</t>
        </is>
      </c>
      <c r="R26" s="2" t="inlineStr">
        <is>
          <t>Novo</t>
        </is>
      </c>
      <c r="S26" s="5" t="n"/>
      <c r="T26" s="2" t="inlineStr"/>
      <c r="U26" s="4" t="inlineStr"/>
    </row>
    <row r="27" ht="96" customHeight="1">
      <c r="A27" s="2" t="n">
        <v>26</v>
      </c>
      <c r="B27" s="2" t="inlineStr">
        <is>
          <t>A</t>
        </is>
      </c>
      <c r="C27" s="2" t="n">
        <v>8</v>
      </c>
      <c r="D27" s="2" t="inlineStr">
        <is>
          <t>Profissional</t>
        </is>
      </c>
      <c r="E27" s="2" t="inlineStr">
        <is>
          <t>Nutricionista</t>
        </is>
      </c>
      <c r="F27" s="2" t="inlineStr">
        <is>
          <t>nutrição</t>
        </is>
      </c>
      <c r="G27" s="2" t="inlineStr">
        <is>
          <t>Paula Paraíso Nutricionista</t>
        </is>
      </c>
      <c r="H27" s="3" t="inlineStr">
        <is>
          <t>@nutripaulaparaiso</t>
        </is>
      </c>
      <c r="I27" s="2" t="inlineStr">
        <is>
          <t>São Paulo</t>
        </is>
      </c>
      <c r="J27" s="2" t="n"/>
      <c r="K27" s="2" t="inlineStr"/>
      <c r="L27" s="2" t="inlineStr">
        <is>
          <t>nao encontrado</t>
        </is>
      </c>
      <c r="M27" s="2" t="inlineStr"/>
      <c r="N27" s="2" t="inlineStr"/>
      <c r="O27" s="3" t="inlineStr">
        <is>
          <t>Abrir prévia</t>
        </is>
      </c>
      <c r="P27" s="4" t="inlineStr">
        <is>
          <t>Oi, Paula! Sou o [SEU NOME], da Downway. Acompanho seu conteúdo de nutrição aqui no Instagram e montei uma prévia de site para você, já com o CRN em destaque e dentro das regras do conselho: https://downway.com.br/demo/nutripaulaparaiso/
Hoje, quem pesquisa "nutricionista em São Paulo" no Google encontra outros profissionais. Com o site, essa pessoa chega até você e já fala no WhatsApp. Posso mostrar como fica no ar?</t>
        </is>
      </c>
      <c r="Q27" s="4" t="inlineStr">
        <is>
          <t>Oi! Conseguiu ver a prévia do site? Se quiser, ajusto cores, fotos ou textos para ficar com a cara do seu trabalho. A prévia fica no ar por 7 dias.</t>
        </is>
      </c>
      <c r="R27" s="2" t="inlineStr">
        <is>
          <t>Novo</t>
        </is>
      </c>
      <c r="S27" s="5" t="n"/>
      <c r="T27" s="2" t="inlineStr"/>
      <c r="U27" s="4" t="inlineStr"/>
    </row>
    <row r="28" ht="96" customHeight="1">
      <c r="A28" s="2" t="n">
        <v>27</v>
      </c>
      <c r="B28" s="2" t="inlineStr">
        <is>
          <t>A</t>
        </is>
      </c>
      <c r="C28" s="2" t="n">
        <v>8</v>
      </c>
      <c r="D28" s="2" t="inlineStr">
        <is>
          <t>Profissional</t>
        </is>
      </c>
      <c r="E28" s="2" t="inlineStr">
        <is>
          <t>Nutricionista</t>
        </is>
      </c>
      <c r="F28" s="2" t="inlineStr">
        <is>
          <t>nutrição</t>
        </is>
      </c>
      <c r="G28" s="2" t="inlineStr">
        <is>
          <t>Thais Pereira Nutrição Esportiva</t>
        </is>
      </c>
      <c r="H28" s="3" t="inlineStr">
        <is>
          <t>@thaispereiranutri</t>
        </is>
      </c>
      <c r="I28" s="2" t="inlineStr">
        <is>
          <t>Mooca</t>
        </is>
      </c>
      <c r="J28" s="2" t="n"/>
      <c r="K28" s="2" t="inlineStr"/>
      <c r="L28" s="2" t="inlineStr">
        <is>
          <t>nao encontrado</t>
        </is>
      </c>
      <c r="M28" s="2" t="inlineStr"/>
      <c r="N28" s="2" t="inlineStr"/>
      <c r="O28" s="3" t="inlineStr">
        <is>
          <t>Abrir prévia</t>
        </is>
      </c>
      <c r="P28" s="4" t="inlineStr">
        <is>
          <t>Oi, Thais! Sou o [SEU NOME], da Downway. Acompanho seu conteúdo de nutrição aqui no Instagram e montei uma prévia de site para você, já com o CRN em destaque e dentro das regras do conselho: https://downway.com.br/demo/thaispereiranutri/
Hoje, quem pesquisa "nutricionista em São Paulo" no Google encontra outros profissionais. Com o site, essa pessoa chega até você e já fala no WhatsApp. Posso mostrar como fica no ar?</t>
        </is>
      </c>
      <c r="Q28" s="4" t="inlineStr">
        <is>
          <t>Oi! Conseguiu ver a prévia do site? Se quiser, ajusto cores, fotos ou textos para ficar com a cara do seu trabalho. A prévia fica no ar por 7 dias.</t>
        </is>
      </c>
      <c r="R28" s="2" t="inlineStr">
        <is>
          <t>Novo</t>
        </is>
      </c>
      <c r="S28" s="5" t="n"/>
      <c r="T28" s="2" t="inlineStr"/>
      <c r="U28" s="4" t="inlineStr"/>
    </row>
    <row r="29" ht="96" customHeight="1">
      <c r="A29" s="2" t="n">
        <v>28</v>
      </c>
      <c r="B29" s="2" t="inlineStr">
        <is>
          <t>A</t>
        </is>
      </c>
      <c r="C29" s="2" t="n">
        <v>8</v>
      </c>
      <c r="D29" s="2" t="inlineStr">
        <is>
          <t>Negócio local</t>
        </is>
      </c>
      <c r="E29" s="2" t="inlineStr">
        <is>
          <t>Pizzaria</t>
        </is>
      </c>
      <c r="F29" s="2" t="inlineStr">
        <is>
          <t>pizzaria</t>
        </is>
      </c>
      <c r="G29" s="2" t="inlineStr">
        <is>
          <t>São Paulo Pizzas</t>
        </is>
      </c>
      <c r="H29" s="3" t="inlineStr">
        <is>
          <t>@saopaulopizzas</t>
        </is>
      </c>
      <c r="I29" s="2" t="inlineStr">
        <is>
          <t>Bela Vista</t>
        </is>
      </c>
      <c r="J29" s="2" t="n">
        <v>1304</v>
      </c>
      <c r="K29" s="2" t="inlineStr"/>
      <c r="L29" s="2" t="inlineStr">
        <is>
          <t>nao encontrado</t>
        </is>
      </c>
      <c r="M29" s="2" t="inlineStr"/>
      <c r="N29" s="2" t="inlineStr"/>
      <c r="O29" s="3" t="inlineStr">
        <is>
          <t>Abrir prévia</t>
        </is>
      </c>
      <c r="P29" s="4" t="inlineStr">
        <is>
          <t>Oi, pessoal da São Paulo Pizzas! Sou o [SEU NOME], da Downway. Curto muito o trabalho de vocês aqui no Instagram. Montei uma prévia de site para a São Paulo Pizzas só para vocês verem como fica: https://downway.com.br/demo/saopaulopizzas/
Quem procura "pizzaria Bela Vista" no Google cai nos concorrentes. Com o site, cai em vocês e já chama no WhatsApp. Abre no celular e me diz o que achou?</t>
        </is>
      </c>
      <c r="Q29" s="4" t="inlineStr">
        <is>
          <t>Oi! Conseguiu ver a prévia do site? Se quiser, ajusto cores, fotos ou textos para ficar com a cara de vocês. A prévia fica no ar por 7 dias.</t>
        </is>
      </c>
      <c r="R29" s="2" t="inlineStr">
        <is>
          <t>Novo</t>
        </is>
      </c>
      <c r="S29" s="5" t="n"/>
      <c r="T29" s="2" t="inlineStr"/>
      <c r="U29" s="4" t="inlineStr"/>
    </row>
    <row r="30" ht="96" customHeight="1">
      <c r="A30" s="2" t="n">
        <v>29</v>
      </c>
      <c r="B30" s="2" t="inlineStr">
        <is>
          <t>A</t>
        </is>
      </c>
      <c r="C30" s="2" t="n">
        <v>8</v>
      </c>
      <c r="D30" s="2" t="inlineStr">
        <is>
          <t>Profissional</t>
        </is>
      </c>
      <c r="E30" s="2" t="inlineStr">
        <is>
          <t>Psicólogo</t>
        </is>
      </c>
      <c r="F30" s="2" t="inlineStr">
        <is>
          <t>psicologia</t>
        </is>
      </c>
      <c r="G30" s="2" t="inlineStr">
        <is>
          <t>Psicologia Clínica Tatuapé</t>
        </is>
      </c>
      <c r="H30" s="3" t="inlineStr">
        <is>
          <t>@psicotatuape</t>
        </is>
      </c>
      <c r="I30" s="2" t="inlineStr">
        <is>
          <t>Tatuapé</t>
        </is>
      </c>
      <c r="J30" s="2" t="n"/>
      <c r="K30" s="2" t="inlineStr"/>
      <c r="L30" s="2" t="inlineStr">
        <is>
          <t>nao encontrado</t>
        </is>
      </c>
      <c r="M30" s="2" t="inlineStr"/>
      <c r="N30" s="2" t="inlineStr"/>
      <c r="O30" s="3" t="inlineStr">
        <is>
          <t>Abrir prévia</t>
        </is>
      </c>
      <c r="P30" s="4" t="inlineStr">
        <is>
          <t>Oi, pessoal da Psicologia Clínica Tatuapé! Sou o [SEU NOME], da Downway. Acompanho o conteúdo de vocês de psicologia aqui no Instagram e montei uma prévia de site para a Psicologia Clínica Tatuapé, já dentro do código de ética do CFP: https://downway.com.br/demo/psicotatuape/
Hoje, quem pesquisa "psicóloga em São Paulo" no Google encontra outros profissionais. Com o site, essa pessoa chega até vocês e já fala no WhatsApp. Posso mostrar como fica no ar?</t>
        </is>
      </c>
      <c r="Q30" s="4" t="inlineStr">
        <is>
          <t>Oi! Conseguiu ver a prévia do site? Se quiser, ajusto cores, fotos ou textos para ficar com a cara do seu trabalho. A prévia fica no ar por 7 dias.</t>
        </is>
      </c>
      <c r="R30" s="2" t="inlineStr">
        <is>
          <t>Novo</t>
        </is>
      </c>
      <c r="S30" s="5" t="n"/>
      <c r="T30" s="2" t="inlineStr"/>
      <c r="U30" s="4" t="inlineStr"/>
    </row>
    <row r="31" ht="96" customHeight="1">
      <c r="A31" s="2" t="n">
        <v>30</v>
      </c>
      <c r="B31" s="2" t="inlineStr">
        <is>
          <t>B</t>
        </is>
      </c>
      <c r="C31" s="2" t="n">
        <v>8</v>
      </c>
      <c r="D31" s="2" t="inlineStr">
        <is>
          <t>Profissional</t>
        </is>
      </c>
      <c r="E31" s="2" t="inlineStr">
        <is>
          <t>Médico</t>
        </is>
      </c>
      <c r="F31" s="2" t="inlineStr">
        <is>
          <t>dermatologia</t>
        </is>
      </c>
      <c r="G31" s="2" t="inlineStr">
        <is>
          <t>Dra. Sarah Brasil</t>
        </is>
      </c>
      <c r="H31" s="3" t="inlineStr">
        <is>
          <t>@sarahbrasildermato</t>
        </is>
      </c>
      <c r="I31" s="2" t="inlineStr">
        <is>
          <t>São Paulo</t>
        </is>
      </c>
      <c r="J31" s="2" t="n"/>
      <c r="K31" s="2" t="inlineStr">
        <is>
          <t>RQE 5241</t>
        </is>
      </c>
      <c r="L31" s="2" t="inlineStr">
        <is>
          <t>nao encontrado</t>
        </is>
      </c>
      <c r="M31" s="2" t="inlineStr"/>
      <c r="N31" s="2" t="inlineStr"/>
      <c r="O31" s="3" t="inlineStr">
        <is>
          <t>Abrir prévia</t>
        </is>
      </c>
      <c r="P31" s="4" t="inlineStr">
        <is>
          <t>Oi, Dra. Sarah! Sou o [SEU NOME], da Downway. Acompanho seu conteúdo de dermatologia aqui no Instagram e montei uma prévia de site para você, já seguindo a resolução de publicidade médica do CFM (2.336/2023): https://downway.com.br/demo/sarahbrasildermato/
Hoje, quem pesquisa "dermatologista em São Paulo" no Google encontra outros profissionais. Com o site, essa pessoa chega até você e já fala no WhatsApp. Posso mostrar como fica no ar?</t>
        </is>
      </c>
      <c r="Q31" s="4" t="inlineStr">
        <is>
          <t>Oi! Conseguiu ver a prévia do site? Se quiser, ajusto cores, fotos ou textos para ficar com a cara do seu trabalho. A prévia fica no ar por 7 dias.</t>
        </is>
      </c>
      <c r="R31" s="2" t="inlineStr">
        <is>
          <t>Novo</t>
        </is>
      </c>
      <c r="S31" s="5" t="n"/>
      <c r="T31" s="2" t="inlineStr"/>
      <c r="U31" s="4" t="inlineStr">
        <is>
          <t>Confirmar cidade e CRM</t>
        </is>
      </c>
    </row>
    <row r="32" ht="96" customHeight="1">
      <c r="A32" s="2" t="n">
        <v>31</v>
      </c>
      <c r="B32" s="2" t="inlineStr">
        <is>
          <t>A</t>
        </is>
      </c>
      <c r="C32" s="2" t="n">
        <v>7</v>
      </c>
      <c r="D32" s="2" t="inlineStr">
        <is>
          <t>Negócio local</t>
        </is>
      </c>
      <c r="E32" s="2" t="inlineStr">
        <is>
          <t>Barbearia</t>
        </is>
      </c>
      <c r="F32" s="2" t="inlineStr">
        <is>
          <t>barbearia</t>
        </is>
      </c>
      <c r="G32" s="2" t="inlineStr">
        <is>
          <t>Barbearia Bresser</t>
        </is>
      </c>
      <c r="H32" s="3" t="inlineStr">
        <is>
          <t>@bresserbarbearia</t>
        </is>
      </c>
      <c r="I32" s="2" t="inlineStr">
        <is>
          <t>Mooca</t>
        </is>
      </c>
      <c r="J32" s="2" t="n">
        <v>1603</v>
      </c>
      <c r="K32" s="2" t="inlineStr"/>
      <c r="L32" s="2" t="inlineStr">
        <is>
          <t>nao encontrado</t>
        </is>
      </c>
      <c r="M32" s="2" t="inlineStr"/>
      <c r="N32" s="2" t="inlineStr"/>
      <c r="O32" s="3" t="inlineStr">
        <is>
          <t>Abrir prévia</t>
        </is>
      </c>
      <c r="P32" s="4" t="inlineStr">
        <is>
          <t>Oi, pessoal da Barbearia Bresser! Sou o [SEU NOME], da Downway. Curto muito o trabalho de vocês aqui no Instagram. Montei uma prévia de site para a Barbearia Bresser só para vocês verem como fica: https://downway.com.br/demo/bresserbarbearia/
Quem procura "barbearia Mooca" no Google cai nos concorrentes. Com o site, cai em vocês e já chama no WhatsApp. Abre no celular e me diz o que achou?</t>
        </is>
      </c>
      <c r="Q32" s="4" t="inlineStr">
        <is>
          <t>Oi! Conseguiu ver a prévia do site? Se quiser, ajusto cores, fotos ou textos para ficar com a cara de vocês. A prévia fica no ar por 7 dias.</t>
        </is>
      </c>
      <c r="R32" s="2" t="inlineStr">
        <is>
          <t>Novo</t>
        </is>
      </c>
      <c r="S32" s="5" t="n"/>
      <c r="T32" s="2" t="inlineStr"/>
      <c r="U32" s="4" t="inlineStr"/>
    </row>
    <row r="33" ht="96" customHeight="1">
      <c r="A33" s="2" t="n">
        <v>32</v>
      </c>
      <c r="B33" s="2" t="inlineStr">
        <is>
          <t>A</t>
        </is>
      </c>
      <c r="C33" s="2" t="n">
        <v>7</v>
      </c>
      <c r="D33" s="2" t="inlineStr">
        <is>
          <t>Negócio local</t>
        </is>
      </c>
      <c r="E33" s="2" t="inlineStr">
        <is>
          <t>Confeitaria</t>
        </is>
      </c>
      <c r="F33" s="2" t="inlineStr">
        <is>
          <t>confeitaria</t>
        </is>
      </c>
      <c r="G33" s="2" t="inlineStr">
        <is>
          <t>Casa Caramelo</t>
        </is>
      </c>
      <c r="H33" s="3" t="inlineStr">
        <is>
          <t>@casacaramelo230</t>
        </is>
      </c>
      <c r="I33" s="2" t="inlineStr">
        <is>
          <t>São Paulo</t>
        </is>
      </c>
      <c r="J33" s="2" t="n">
        <v>5539</v>
      </c>
      <c r="K33" s="2" t="inlineStr"/>
      <c r="L33" s="2" t="inlineStr">
        <is>
          <t>nao encontrado</t>
        </is>
      </c>
      <c r="M33" s="2" t="inlineStr"/>
      <c r="N33" s="2" t="inlineStr"/>
      <c r="O33" s="3" t="inlineStr">
        <is>
          <t>Abrir prévia</t>
        </is>
      </c>
      <c r="P33" s="4" t="inlineStr">
        <is>
          <t>Oi, pessoal da Casa Caramelo! Sou o [SEU NOME], da Downway. Curto muito o trabalho de vocês aqui no Instagram. Montei uma prévia de site para a Casa Caramelo só para vocês verem como fica: https://downway.com.br/demo/casacaramelo230/
Quem procura "confeitaria São Paulo" no Google cai nos concorrentes. Com o site, cai em vocês e já chama no WhatsApp. Abre no celular e me diz o que achou?</t>
        </is>
      </c>
      <c r="Q33" s="4" t="inlineStr">
        <is>
          <t>Oi! Conseguiu ver a prévia do site? Se quiser, ajusto cores, fotos ou textos para ficar com a cara de vocês. A prévia fica no ar por 7 dias.</t>
        </is>
      </c>
      <c r="R33" s="2" t="inlineStr">
        <is>
          <t>Novo</t>
        </is>
      </c>
      <c r="S33" s="5" t="n"/>
      <c r="T33" s="2" t="inlineStr"/>
      <c r="U33" s="4" t="inlineStr"/>
    </row>
    <row r="34" ht="96" customHeight="1">
      <c r="A34" s="2" t="n">
        <v>33</v>
      </c>
      <c r="B34" s="2" t="inlineStr">
        <is>
          <t>A</t>
        </is>
      </c>
      <c r="C34" s="2" t="n">
        <v>7</v>
      </c>
      <c r="D34" s="2" t="inlineStr">
        <is>
          <t>Negócio local</t>
        </is>
      </c>
      <c r="E34" s="2" t="inlineStr">
        <is>
          <t>Confeitaria</t>
        </is>
      </c>
      <c r="F34" s="2" t="inlineStr">
        <is>
          <t>confeitaria</t>
        </is>
      </c>
      <c r="G34" s="2" t="inlineStr">
        <is>
          <t>Confeitaria Mais Bolo</t>
        </is>
      </c>
      <c r="H34" s="3" t="inlineStr">
        <is>
          <t>@confeitariamaisbolo</t>
        </is>
      </c>
      <c r="I34" s="2" t="inlineStr">
        <is>
          <t>São Paulo</t>
        </is>
      </c>
      <c r="J34" s="2" t="n">
        <v>6577</v>
      </c>
      <c r="K34" s="2" t="inlineStr"/>
      <c r="L34" s="2" t="inlineStr">
        <is>
          <t>nao encontrado</t>
        </is>
      </c>
      <c r="M34" s="2" t="inlineStr"/>
      <c r="N34" s="2" t="inlineStr"/>
      <c r="O34" s="3" t="inlineStr">
        <is>
          <t>Abrir prévia</t>
        </is>
      </c>
      <c r="P34" s="4" t="inlineStr">
        <is>
          <t>Oi, pessoal da Confeitaria Mais Bolo! Sou o [SEU NOME], da Downway. Curto muito o trabalho de vocês aqui no Instagram. Montei uma prévia de site para a Confeitaria Mais Bolo só para vocês verem como fica: https://downway.com.br/demo/confeitariamaisbolo/
Quem procura "confeitaria São Paulo" no Google cai nos concorrentes. Com o site, cai em vocês e já chama no WhatsApp. Abre no celular e me diz o que achou?</t>
        </is>
      </c>
      <c r="Q34" s="4" t="inlineStr">
        <is>
          <t>Oi! Conseguiu ver a prévia do site? Se quiser, ajusto cores, fotos ou textos para ficar com a cara de vocês. A prévia fica no ar por 7 dias.</t>
        </is>
      </c>
      <c r="R34" s="2" t="inlineStr">
        <is>
          <t>Novo</t>
        </is>
      </c>
      <c r="S34" s="5" t="n"/>
      <c r="T34" s="2" t="inlineStr"/>
      <c r="U34" s="4" t="inlineStr"/>
    </row>
    <row r="35" ht="96" customHeight="1">
      <c r="A35" s="2" t="n">
        <v>34</v>
      </c>
      <c r="B35" s="2" t="inlineStr">
        <is>
          <t>A</t>
        </is>
      </c>
      <c r="C35" s="2" t="n">
        <v>7</v>
      </c>
      <c r="D35" s="2" t="inlineStr">
        <is>
          <t>Negócio local</t>
        </is>
      </c>
      <c r="E35" s="2" t="inlineStr">
        <is>
          <t>Cílios/sobrancelhas</t>
        </is>
      </c>
      <c r="F35" s="2" t="inlineStr">
        <is>
          <t>lash</t>
        </is>
      </c>
      <c r="G35" s="2" t="inlineStr">
        <is>
          <t>Lash In</t>
        </is>
      </c>
      <c r="H35" s="3" t="inlineStr">
        <is>
          <t>@studio.lashin</t>
        </is>
      </c>
      <c r="I35" s="2" t="inlineStr">
        <is>
          <t>Rua Eça de Queiroz, 267</t>
        </is>
      </c>
      <c r="J35" s="2" t="n"/>
      <c r="K35" s="2" t="inlineStr"/>
      <c r="L35" s="2" t="inlineStr">
        <is>
          <t>nao encontrado</t>
        </is>
      </c>
      <c r="M35" s="2" t="inlineStr"/>
      <c r="N35" s="2" t="inlineStr"/>
      <c r="O35" s="3" t="inlineStr">
        <is>
          <t>Abrir prévia</t>
        </is>
      </c>
      <c r="P35" s="4" t="inlineStr">
        <is>
          <t>Oi, pessoal da Lash In! Sou o [SEU NOME], da Downway. Curto muito o trabalho de vocês aqui no Instagram. Montei uma prévia de site para a Lash In só para vocês verem como fica: https://downway.com.br/demo/studio-lashin/
Quem procura "cílios/sobrancelhas Rua Eça de Queiroz, 267" no Google cai nos concorrentes. Com o site, cai em vocês e já chama no WhatsApp. Abre no celular e me diz o que achou?</t>
        </is>
      </c>
      <c r="Q35" s="4" t="inlineStr">
        <is>
          <t>Oi! Conseguiu ver a prévia do site? Se quiser, ajusto cores, fotos ou textos para ficar com a cara de vocês. A prévia fica no ar por 7 dias.</t>
        </is>
      </c>
      <c r="R35" s="2" t="inlineStr">
        <is>
          <t>Novo</t>
        </is>
      </c>
      <c r="S35" s="5" t="n"/>
      <c r="T35" s="2" t="inlineStr"/>
      <c r="U35" s="4" t="inlineStr">
        <is>
          <t>Vende curso = site com página de curso</t>
        </is>
      </c>
    </row>
    <row r="36" ht="96" customHeight="1">
      <c r="A36" s="2" t="n">
        <v>35</v>
      </c>
      <c r="B36" s="2" t="inlineStr">
        <is>
          <t>A</t>
        </is>
      </c>
      <c r="C36" s="2" t="n">
        <v>7</v>
      </c>
      <c r="D36" s="2" t="inlineStr">
        <is>
          <t>Negócio local</t>
        </is>
      </c>
      <c r="E36" s="2" t="inlineStr">
        <is>
          <t>Estética automotiva</t>
        </is>
      </c>
      <c r="F36" s="2" t="inlineStr">
        <is>
          <t>estética automotiva</t>
        </is>
      </c>
      <c r="G36" s="2" t="inlineStr">
        <is>
          <t>GB Estética Automotiva</t>
        </is>
      </c>
      <c r="H36" s="3" t="inlineStr">
        <is>
          <t>@gb.estetica.automotiva</t>
        </is>
      </c>
      <c r="I36" s="2" t="inlineStr">
        <is>
          <t>Vila Formosa</t>
        </is>
      </c>
      <c r="J36" s="2" t="n"/>
      <c r="K36" s="2" t="inlineStr"/>
      <c r="L36" s="2" t="inlineStr">
        <is>
          <t>nao encontrado</t>
        </is>
      </c>
      <c r="M36" s="2" t="inlineStr"/>
      <c r="N36" s="2" t="inlineStr"/>
      <c r="O36" s="3" t="inlineStr">
        <is>
          <t>Abrir prévia</t>
        </is>
      </c>
      <c r="P36" s="4" t="inlineStr">
        <is>
          <t>Oi, pessoal da GB Estética Automotiva! Sou o [SEU NOME], da Downway. Curto muito o trabalho de vocês aqui no Instagram. Montei uma prévia de site para a GB Estética Automotiva só para vocês verem como fica: https://downway.com.br/demo/gb-estetica-automotiva/
Quem procura "estética automotiva Vila Formosa" no Google cai nos concorrentes. Com o site, cai em vocês e já chama no WhatsApp. Abre no celular e me diz o que achou?</t>
        </is>
      </c>
      <c r="Q36" s="4" t="inlineStr">
        <is>
          <t>Oi! Conseguiu ver a prévia do site? Se quiser, ajusto cores, fotos ou textos para ficar com a cara de vocês. A prévia fica no ar por 7 dias.</t>
        </is>
      </c>
      <c r="R36" s="2" t="inlineStr">
        <is>
          <t>Novo</t>
        </is>
      </c>
      <c r="S36" s="5" t="n"/>
      <c r="T36" s="2" t="inlineStr"/>
      <c r="U36" s="4" t="inlineStr"/>
    </row>
    <row r="37" ht="96" customHeight="1">
      <c r="A37" s="2" t="n">
        <v>36</v>
      </c>
      <c r="B37" s="2" t="inlineStr">
        <is>
          <t>A</t>
        </is>
      </c>
      <c r="C37" s="2" t="n">
        <v>7</v>
      </c>
      <c r="D37" s="2" t="inlineStr">
        <is>
          <t>Negócio local</t>
        </is>
      </c>
      <c r="E37" s="2" t="inlineStr">
        <is>
          <t>Estética automotiva</t>
        </is>
      </c>
      <c r="F37" s="2" t="inlineStr">
        <is>
          <t>estética automotiva</t>
        </is>
      </c>
      <c r="G37" s="2" t="inlineStr">
        <is>
          <t>High Clean</t>
        </is>
      </c>
      <c r="H37" s="3" t="inlineStr">
        <is>
          <t>@highclean.sp</t>
        </is>
      </c>
      <c r="I37" s="2" t="inlineStr">
        <is>
          <t>Brooklin</t>
        </is>
      </c>
      <c r="J37" s="2" t="n">
        <v>4562</v>
      </c>
      <c r="K37" s="2" t="inlineStr"/>
      <c r="L37" s="2" t="inlineStr">
        <is>
          <t>nao encontrado</t>
        </is>
      </c>
      <c r="M37" s="2" t="inlineStr"/>
      <c r="N37" s="2" t="inlineStr"/>
      <c r="O37" s="3" t="inlineStr">
        <is>
          <t>Abrir prévia</t>
        </is>
      </c>
      <c r="P37" s="4" t="inlineStr">
        <is>
          <t>Oi, pessoal da High Clean! Sou o [SEU NOME], da Downway. Curto muito o trabalho de vocês aqui no Instagram. Montei uma prévia de site para a High Clean só para vocês verem como fica: https://downway.com.br/demo/highclean-sp/
Quem procura "estética automotiva Brooklin" no Google cai nos concorrentes. Com o site, cai em vocês e já chama no WhatsApp. Abre no celular e me diz o que achou?</t>
        </is>
      </c>
      <c r="Q37" s="4" t="inlineStr">
        <is>
          <t>Oi! Conseguiu ver a prévia do site? Se quiser, ajusto cores, fotos ou textos para ficar com a cara de vocês. A prévia fica no ar por 7 dias.</t>
        </is>
      </c>
      <c r="R37" s="2" t="inlineStr">
        <is>
          <t>Novo</t>
        </is>
      </c>
      <c r="S37" s="5" t="n"/>
      <c r="T37" s="2" t="inlineStr"/>
      <c r="U37" s="4" t="inlineStr">
        <is>
          <t>Ticket alto</t>
        </is>
      </c>
    </row>
    <row r="38" ht="96" customHeight="1">
      <c r="A38" s="2" t="n">
        <v>37</v>
      </c>
      <c r="B38" s="2" t="inlineStr">
        <is>
          <t>A</t>
        </is>
      </c>
      <c r="C38" s="2" t="n">
        <v>7</v>
      </c>
      <c r="D38" s="2" t="inlineStr">
        <is>
          <t>Negócio local</t>
        </is>
      </c>
      <c r="E38" s="2" t="inlineStr">
        <is>
          <t>Estética automotiva</t>
        </is>
      </c>
      <c r="F38" s="2" t="inlineStr">
        <is>
          <t>estética automotiva</t>
        </is>
      </c>
      <c r="G38" s="2" t="inlineStr">
        <is>
          <t>Lava Rápido 24 Horas</t>
        </is>
      </c>
      <c r="H38" s="3" t="inlineStr">
        <is>
          <t>@lava24horas</t>
        </is>
      </c>
      <c r="I38" s="2" t="inlineStr">
        <is>
          <t>Morumbi</t>
        </is>
      </c>
      <c r="J38" s="2" t="n"/>
      <c r="K38" s="2" t="inlineStr"/>
      <c r="L38" s="2" t="inlineStr">
        <is>
          <t>nao encontrado</t>
        </is>
      </c>
      <c r="M38" s="2" t="inlineStr"/>
      <c r="N38" s="2" t="inlineStr"/>
      <c r="O38" s="3" t="inlineStr">
        <is>
          <t>Abrir prévia</t>
        </is>
      </c>
      <c r="P38" s="4" t="inlineStr">
        <is>
          <t>Oi, pessoal da Lava Rápido 24 Horas! Sou o [SEU NOME], da Downway. Curto muito o trabalho de vocês aqui no Instagram. Montei uma prévia de site para a Lava Rápido 24 Horas só para vocês verem como fica: https://downway.com.br/demo/lava24horas/
Quem procura "estética automotiva Morumbi" no Google cai nos concorrentes. Com o site, cai em vocês e já chama no WhatsApp. Abre no celular e me diz o que achou?</t>
        </is>
      </c>
      <c r="Q38" s="4" t="inlineStr">
        <is>
          <t>Oi! Conseguiu ver a prévia do site? Se quiser, ajusto cores, fotos ou textos para ficar com a cara de vocês. A prévia fica no ar por 7 dias.</t>
        </is>
      </c>
      <c r="R38" s="2" t="inlineStr">
        <is>
          <t>Novo</t>
        </is>
      </c>
      <c r="S38" s="5" t="n"/>
      <c r="T38" s="2" t="inlineStr"/>
      <c r="U38" s="4" t="inlineStr"/>
    </row>
    <row r="39" ht="96" customHeight="1">
      <c r="A39" s="2" t="n">
        <v>38</v>
      </c>
      <c r="B39" s="2" t="inlineStr">
        <is>
          <t>A</t>
        </is>
      </c>
      <c r="C39" s="2" t="n">
        <v>7</v>
      </c>
      <c r="D39" s="2" t="inlineStr">
        <is>
          <t>Negócio local</t>
        </is>
      </c>
      <c r="E39" s="2" t="inlineStr">
        <is>
          <t>Hamburgueria</t>
        </is>
      </c>
      <c r="F39" s="2" t="inlineStr">
        <is>
          <t>hamburgueria</t>
        </is>
      </c>
      <c r="G39" s="2" t="inlineStr">
        <is>
          <t>Smash Brothers</t>
        </is>
      </c>
      <c r="H39" s="3" t="inlineStr">
        <is>
          <t>@smashbrothersburger</t>
        </is>
      </c>
      <c r="I39" s="2" t="inlineStr">
        <is>
          <t>confirmar</t>
        </is>
      </c>
      <c r="J39" s="2" t="n">
        <v>9398</v>
      </c>
      <c r="K39" s="2" t="inlineStr"/>
      <c r="L39" s="2" t="inlineStr">
        <is>
          <t>nao encontrado</t>
        </is>
      </c>
      <c r="M39" s="2" t="inlineStr"/>
      <c r="N39" s="2" t="inlineStr"/>
      <c r="O39" s="3" t="inlineStr">
        <is>
          <t>Abrir prévia</t>
        </is>
      </c>
      <c r="P39" s="4" t="inlineStr">
        <is>
          <t>Oi, pessoal da Smash Brothers! Sou o [SEU NOME], da Downway. Curto muito o trabalho de vocês aqui no Instagram. Montei uma prévia de site para a Smash Brothers só para vocês verem como fica: https://downway.com.br/demo/smashbrothersburger/
Quem procura "hamburgueria confirmar" no Google cai nos concorrentes. Com o site, cai em vocês e já chama no WhatsApp. Abre no celular e me diz o que achou?</t>
        </is>
      </c>
      <c r="Q39" s="4" t="inlineStr">
        <is>
          <t>Oi! Conseguiu ver a prévia do site? Se quiser, ajusto cores, fotos ou textos para ficar com a cara de vocês. A prévia fica no ar por 7 dias.</t>
        </is>
      </c>
      <c r="R39" s="2" t="inlineStr">
        <is>
          <t>Novo</t>
        </is>
      </c>
      <c r="S39" s="5" t="n"/>
      <c r="T39" s="2" t="inlineStr"/>
      <c r="U39" s="4" t="inlineStr"/>
    </row>
    <row r="40" ht="96" customHeight="1">
      <c r="A40" s="2" t="n">
        <v>39</v>
      </c>
      <c r="B40" s="2" t="inlineStr">
        <is>
          <t>A</t>
        </is>
      </c>
      <c r="C40" s="2" t="n">
        <v>7</v>
      </c>
      <c r="D40" s="2" t="inlineStr">
        <is>
          <t>Negócio local</t>
        </is>
      </c>
      <c r="E40" s="2" t="inlineStr">
        <is>
          <t>Marcenaria</t>
        </is>
      </c>
      <c r="F40" s="2" t="inlineStr">
        <is>
          <t>marcenaria</t>
        </is>
      </c>
      <c r="G40" s="2" t="inlineStr">
        <is>
          <t>MA Planejados</t>
        </is>
      </c>
      <c r="H40" s="3" t="inlineStr">
        <is>
          <t>@_maplanejados</t>
        </is>
      </c>
      <c r="I40" s="2" t="inlineStr">
        <is>
          <t>Zona Leste</t>
        </is>
      </c>
      <c r="J40" s="2" t="n">
        <v>3249</v>
      </c>
      <c r="K40" s="2" t="inlineStr"/>
      <c r="L40" s="2" t="inlineStr">
        <is>
          <t>nao encontrado</t>
        </is>
      </c>
      <c r="M40" s="2" t="inlineStr"/>
      <c r="N40" s="2" t="inlineStr"/>
      <c r="O40" s="3" t="inlineStr">
        <is>
          <t>Abrir prévia</t>
        </is>
      </c>
      <c r="P40" s="4" t="inlineStr">
        <is>
          <t>Oi, pessoal da MA Planejados! Sou o [SEU NOME], da Downway. Curto muito o trabalho de vocês aqui no Instagram. Montei uma prévia de site para a MA Planejados só para vocês verem como fica: https://downway.com.br/demo/maplanejados/
Quem procura "marcenaria Zona Leste" no Google cai nos concorrentes. Com o site, cai em vocês e já chama no WhatsApp. Abre no celular e me diz o que achou?</t>
        </is>
      </c>
      <c r="Q40" s="4" t="inlineStr">
        <is>
          <t>Oi! Conseguiu ver a prévia do site? Se quiser, ajusto cores, fotos ou textos para ficar com a cara de vocês. A prévia fica no ar por 7 dias.</t>
        </is>
      </c>
      <c r="R40" s="2" t="inlineStr">
        <is>
          <t>Novo</t>
        </is>
      </c>
      <c r="S40" s="5" t="n"/>
      <c r="T40" s="2" t="inlineStr"/>
      <c r="U40" s="4" t="inlineStr">
        <is>
          <t>Ticket alto, precisa de portfólio</t>
        </is>
      </c>
    </row>
    <row r="41" ht="96" customHeight="1">
      <c r="A41" s="2" t="n">
        <v>40</v>
      </c>
      <c r="B41" s="2" t="inlineStr">
        <is>
          <t>A</t>
        </is>
      </c>
      <c r="C41" s="2" t="n">
        <v>7</v>
      </c>
      <c r="D41" s="2" t="inlineStr">
        <is>
          <t>Profissional</t>
        </is>
      </c>
      <c r="E41" s="2" t="inlineStr">
        <is>
          <t>Nutricionista</t>
        </is>
      </c>
      <c r="F41" s="2" t="inlineStr">
        <is>
          <t>nutrição infantil</t>
        </is>
      </c>
      <c r="G41" s="2" t="inlineStr">
        <is>
          <t>Luana Faustino Nutricionista Infantil</t>
        </is>
      </c>
      <c r="H41" s="3" t="inlineStr">
        <is>
          <t>@nutriluanafaustino</t>
        </is>
      </c>
      <c r="I41" s="2" t="inlineStr">
        <is>
          <t>Tatuapé</t>
        </is>
      </c>
      <c r="J41" s="2" t="n"/>
      <c r="K41" s="2" t="inlineStr"/>
      <c r="L41" s="2" t="inlineStr">
        <is>
          <t>wix gratuito</t>
        </is>
      </c>
      <c r="M41" s="2" t="inlineStr"/>
      <c r="N41" s="2" t="inlineStr"/>
      <c r="O41" s="3" t="inlineStr">
        <is>
          <t>Abrir prévia</t>
        </is>
      </c>
      <c r="P41" s="4" t="inlineStr">
        <is>
          <t>Oi, Luana! Sou o [SEU NOME], da Downway. Acompanho seu conteúdo de nutrição materno-infantil aqui no Instagram e montei uma prévia de site para você, já com o CRN em destaque e dentro das regras do conselho: https://downway.com.br/demo/nutriluanafaustino/
Hoje, quem pesquisa "nutricionista infantil em São Paulo" no Google encontra outros profissionais. Com o site, essa pessoa chega até você e já fala no WhatsApp. Posso mostrar como fica no ar?</t>
        </is>
      </c>
      <c r="Q41" s="4" t="inlineStr">
        <is>
          <t>Oi! Conseguiu ver a prévia do site? Se quiser, ajusto cores, fotos ou textos para ficar com a cara do seu trabalho. A prévia fica no ar por 7 dias.</t>
        </is>
      </c>
      <c r="R41" s="2" t="inlineStr">
        <is>
          <t>Novo</t>
        </is>
      </c>
      <c r="S41" s="5" t="n"/>
      <c r="T41" s="2" t="inlineStr"/>
      <c r="U41" s="4" t="inlineStr">
        <is>
          <t>Tem site Wix com domínio grátis: vender upgrade</t>
        </is>
      </c>
    </row>
    <row r="42" ht="96" customHeight="1">
      <c r="A42" s="2" t="n">
        <v>41</v>
      </c>
      <c r="B42" s="2" t="inlineStr">
        <is>
          <t>A</t>
        </is>
      </c>
      <c r="C42" s="2" t="n">
        <v>7</v>
      </c>
      <c r="D42" s="2" t="inlineStr">
        <is>
          <t>Negócio local</t>
        </is>
      </c>
      <c r="E42" s="2" t="inlineStr">
        <is>
          <t>Pet shop</t>
        </is>
      </c>
      <c r="F42" s="2" t="inlineStr">
        <is>
          <t>pet</t>
        </is>
      </c>
      <c r="G42" s="2" t="inlineStr">
        <is>
          <t>Dom Peludo</t>
        </is>
      </c>
      <c r="H42" s="3" t="inlineStr">
        <is>
          <t>@dom_peludo</t>
        </is>
      </c>
      <c r="I42" s="2" t="inlineStr">
        <is>
          <t>São Paulo</t>
        </is>
      </c>
      <c r="J42" s="2" t="n">
        <v>1542</v>
      </c>
      <c r="K42" s="2" t="inlineStr"/>
      <c r="L42" s="2" t="inlineStr">
        <is>
          <t>nao encontrado</t>
        </is>
      </c>
      <c r="M42" s="2" t="inlineStr"/>
      <c r="N42" s="2" t="inlineStr"/>
      <c r="O42" s="3" t="inlineStr">
        <is>
          <t>Abrir prévia</t>
        </is>
      </c>
      <c r="P42" s="4" t="inlineStr">
        <is>
          <t>Oi, pessoal da Dom Peludo! Sou o [SEU NOME], da Downway. Curto muito o trabalho de vocês aqui no Instagram. Montei uma prévia de site para a Dom Peludo só para vocês verem como fica: https://downway.com.br/demo/dom-peludo/
Quem procura "pet shop São Paulo" no Google cai nos concorrentes. Com o site, cai em vocês e já chama no WhatsApp. Abre no celular e me diz o que achou?</t>
        </is>
      </c>
      <c r="Q42" s="4" t="inlineStr">
        <is>
          <t>Oi! Conseguiu ver a prévia do site? Se quiser, ajusto cores, fotos ou textos para ficar com a cara de vocês. A prévia fica no ar por 7 dias.</t>
        </is>
      </c>
      <c r="R42" s="2" t="inlineStr">
        <is>
          <t>Novo</t>
        </is>
      </c>
      <c r="S42" s="5" t="n"/>
      <c r="T42" s="2" t="inlineStr"/>
      <c r="U42" s="4" t="inlineStr"/>
    </row>
    <row r="43" ht="96" customHeight="1">
      <c r="A43" s="2" t="n">
        <v>42</v>
      </c>
      <c r="B43" s="2" t="inlineStr">
        <is>
          <t>A</t>
        </is>
      </c>
      <c r="C43" s="2" t="n">
        <v>7</v>
      </c>
      <c r="D43" s="2" t="inlineStr">
        <is>
          <t>Negócio local</t>
        </is>
      </c>
      <c r="E43" s="2" t="inlineStr">
        <is>
          <t>Pet shop</t>
        </is>
      </c>
      <c r="F43" s="2" t="inlineStr">
        <is>
          <t>pet</t>
        </is>
      </c>
      <c r="G43" s="2" t="inlineStr">
        <is>
          <t>Pet Shop Cãopecê</t>
        </is>
      </c>
      <c r="H43" s="3" t="inlineStr">
        <is>
          <t>@petshopcaopece</t>
        </is>
      </c>
      <c r="I43" s="2" t="inlineStr">
        <is>
          <t>Zona Sul</t>
        </is>
      </c>
      <c r="J43" s="2" t="n">
        <v>4045</v>
      </c>
      <c r="K43" s="2" t="inlineStr"/>
      <c r="L43" s="2" t="inlineStr">
        <is>
          <t>nao encontrado</t>
        </is>
      </c>
      <c r="M43" s="2" t="inlineStr"/>
      <c r="N43" s="2" t="inlineStr"/>
      <c r="O43" s="3" t="inlineStr">
        <is>
          <t>Abrir prévia</t>
        </is>
      </c>
      <c r="P43" s="4" t="inlineStr">
        <is>
          <t>Oi, pessoal da Pet Shop Cãopecê! Sou o [SEU NOME], da Downway. Curto muito o trabalho de vocês aqui no Instagram. Montei uma prévia de site para a Pet Shop Cãopecê só para vocês verem como fica: https://downway.com.br/demo/petshopcaopece/
Quem procura "pet shop Zona Sul" no Google cai nos concorrentes. Com o site, cai em vocês e já chama no WhatsApp. Abre no celular e me diz o que achou?</t>
        </is>
      </c>
      <c r="Q43" s="4" t="inlineStr">
        <is>
          <t>Oi! Conseguiu ver a prévia do site? Se quiser, ajusto cores, fotos ou textos para ficar com a cara de vocês. A prévia fica no ar por 7 dias.</t>
        </is>
      </c>
      <c r="R43" s="2" t="inlineStr">
        <is>
          <t>Novo</t>
        </is>
      </c>
      <c r="S43" s="5" t="n"/>
      <c r="T43" s="2" t="inlineStr"/>
      <c r="U43" s="4" t="inlineStr"/>
    </row>
    <row r="44" ht="96" customHeight="1">
      <c r="A44" s="2" t="n">
        <v>43</v>
      </c>
      <c r="B44" s="2" t="inlineStr">
        <is>
          <t>A</t>
        </is>
      </c>
      <c r="C44" s="2" t="n">
        <v>7</v>
      </c>
      <c r="D44" s="2" t="inlineStr">
        <is>
          <t>Negócio local</t>
        </is>
      </c>
      <c r="E44" s="2" t="inlineStr">
        <is>
          <t>Pilates/funcional</t>
        </is>
      </c>
      <c r="F44" s="2" t="inlineStr">
        <is>
          <t>pilates</t>
        </is>
      </c>
      <c r="G44" s="2" t="inlineStr">
        <is>
          <t>The Studio Pilates e Funcional</t>
        </is>
      </c>
      <c r="H44" s="3" t="inlineStr">
        <is>
          <t>@thestudiopilatesefuncional</t>
        </is>
      </c>
      <c r="I44" s="2" t="inlineStr">
        <is>
          <t>São Paulo</t>
        </is>
      </c>
      <c r="J44" s="2" t="n">
        <v>1794</v>
      </c>
      <c r="K44" s="2" t="inlineStr"/>
      <c r="L44" s="2" t="inlineStr">
        <is>
          <t>nao encontrado</t>
        </is>
      </c>
      <c r="M44" s="2" t="inlineStr"/>
      <c r="N44" s="2" t="inlineStr"/>
      <c r="O44" s="3" t="inlineStr">
        <is>
          <t>Abrir prévia</t>
        </is>
      </c>
      <c r="P44" s="4" t="inlineStr">
        <is>
          <t>Oi, pessoal da The Studio Pilates e Funcional! Sou o [SEU NOME], da Downway. Curto muito o trabalho de vocês aqui no Instagram. Montei uma prévia de site para a The Studio Pilates e Funcional só para vocês verem como fica: https://downway.com.br/demo/thestudiopilatesefuncional/
Quem procura "pilates/funcional São Paulo" no Google cai nos concorrentes. Com o site, cai em vocês e já chama no WhatsApp. Abre no celular e me diz o que achou?</t>
        </is>
      </c>
      <c r="Q44" s="4" t="inlineStr">
        <is>
          <t>Oi! Conseguiu ver a prévia do site? Se quiser, ajusto cores, fotos ou textos para ficar com a cara de vocês. A prévia fica no ar por 7 dias.</t>
        </is>
      </c>
      <c r="R44" s="2" t="inlineStr">
        <is>
          <t>Novo</t>
        </is>
      </c>
      <c r="S44" s="5" t="n"/>
      <c r="T44" s="2" t="inlineStr"/>
      <c r="U44" s="4" t="inlineStr"/>
    </row>
    <row r="45" ht="96" customHeight="1">
      <c r="A45" s="2" t="n">
        <v>44</v>
      </c>
      <c r="B45" s="2" t="inlineStr">
        <is>
          <t>A</t>
        </is>
      </c>
      <c r="C45" s="2" t="n">
        <v>7</v>
      </c>
      <c r="D45" s="2" t="inlineStr">
        <is>
          <t>Negócio local</t>
        </is>
      </c>
      <c r="E45" s="2" t="inlineStr">
        <is>
          <t>Pizzaria</t>
        </is>
      </c>
      <c r="F45" s="2" t="inlineStr">
        <is>
          <t>pizzaria</t>
        </is>
      </c>
      <c r="G45" s="2" t="inlineStr">
        <is>
          <t>Pizzaria São Paulo SP</t>
        </is>
      </c>
      <c r="H45" s="3" t="inlineStr">
        <is>
          <t>@pizzariasaopaulosp</t>
        </is>
      </c>
      <c r="I45" s="2" t="inlineStr">
        <is>
          <t>São Paulo</t>
        </is>
      </c>
      <c r="J45" s="2" t="n">
        <v>4574</v>
      </c>
      <c r="K45" s="2" t="inlineStr"/>
      <c r="L45" s="2" t="inlineStr">
        <is>
          <t>nao encontrado</t>
        </is>
      </c>
      <c r="M45" s="2" t="inlineStr"/>
      <c r="N45" s="2" t="inlineStr"/>
      <c r="O45" s="3" t="inlineStr">
        <is>
          <t>Abrir prévia</t>
        </is>
      </c>
      <c r="P45" s="4" t="inlineStr">
        <is>
          <t>Oi, pessoal da Pizzaria São Paulo SP! Sou o [SEU NOME], da Downway. Curto muito o trabalho de vocês aqui no Instagram. Montei uma prévia de site para a Pizzaria São Paulo SP só para vocês verem como fica: https://downway.com.br/demo/pizzariasaopaulosp/
Quem procura "pizzaria São Paulo" no Google cai nos concorrentes. Com o site, cai em vocês e já chama no WhatsApp. Abre no celular e me diz o que achou?</t>
        </is>
      </c>
      <c r="Q45" s="4" t="inlineStr">
        <is>
          <t>Oi! Conseguiu ver a prévia do site? Se quiser, ajusto cores, fotos ou textos para ficar com a cara de vocês. A prévia fica no ar por 7 dias.</t>
        </is>
      </c>
      <c r="R45" s="2" t="inlineStr">
        <is>
          <t>Novo</t>
        </is>
      </c>
      <c r="S45" s="5" t="n"/>
      <c r="T45" s="2" t="inlineStr"/>
      <c r="U45" s="4" t="inlineStr"/>
    </row>
    <row r="46" ht="96" customHeight="1">
      <c r="A46" s="2" t="n">
        <v>45</v>
      </c>
      <c r="B46" s="2" t="inlineStr">
        <is>
          <t>A</t>
        </is>
      </c>
      <c r="C46" s="2" t="n">
        <v>7</v>
      </c>
      <c r="D46" s="2" t="inlineStr">
        <is>
          <t>Negócio local</t>
        </is>
      </c>
      <c r="E46" s="2" t="inlineStr">
        <is>
          <t>Salão de beleza</t>
        </is>
      </c>
      <c r="F46" s="2" t="inlineStr">
        <is>
          <t>salao</t>
        </is>
      </c>
      <c r="G46" s="2" t="inlineStr">
        <is>
          <t>VMA Beauty Studio</t>
        </is>
      </c>
      <c r="H46" s="3" t="inlineStr">
        <is>
          <t>@vmabeautystudio</t>
        </is>
      </c>
      <c r="I46" s="2" t="inlineStr">
        <is>
          <t>Santana</t>
        </is>
      </c>
      <c r="J46" s="2" t="n">
        <v>1734</v>
      </c>
      <c r="K46" s="2" t="inlineStr"/>
      <c r="L46" s="2" t="inlineStr">
        <is>
          <t>nao encontrado</t>
        </is>
      </c>
      <c r="M46" s="2" t="inlineStr"/>
      <c r="N46" s="2" t="inlineStr"/>
      <c r="O46" s="3" t="inlineStr">
        <is>
          <t>Abrir prévia</t>
        </is>
      </c>
      <c r="P46" s="4" t="inlineStr">
        <is>
          <t>Oi, pessoal da VMA Beauty Studio! Sou o [SEU NOME], da Downway. Curto muito o trabalho de vocês aqui no Instagram. Montei uma prévia de site para a VMA Beauty Studio só para vocês verem como fica: https://downway.com.br/demo/vmabeautystudio/
Quem procura "salão de beleza Santana" no Google cai nos concorrentes. Com o site, cai em vocês e já chama no WhatsApp. Abre no celular e me diz o que achou?</t>
        </is>
      </c>
      <c r="Q46" s="4" t="inlineStr">
        <is>
          <t>Oi! Conseguiu ver a prévia do site? Se quiser, ajusto cores, fotos ou textos para ficar com a cara de vocês. A prévia fica no ar por 7 dias.</t>
        </is>
      </c>
      <c r="R46" s="2" t="inlineStr">
        <is>
          <t>Novo</t>
        </is>
      </c>
      <c r="S46" s="5" t="n"/>
      <c r="T46" s="2" t="inlineStr"/>
      <c r="U46" s="4" t="inlineStr"/>
    </row>
    <row r="47" ht="96" customHeight="1">
      <c r="A47" s="2" t="n">
        <v>46</v>
      </c>
      <c r="B47" s="2" t="inlineStr">
        <is>
          <t>A</t>
        </is>
      </c>
      <c r="C47" s="2" t="n">
        <v>7</v>
      </c>
      <c r="D47" s="2" t="inlineStr">
        <is>
          <t>Negócio local</t>
        </is>
      </c>
      <c r="E47" s="2" t="inlineStr">
        <is>
          <t>Salão de beleza</t>
        </is>
      </c>
      <c r="F47" s="2" t="inlineStr">
        <is>
          <t>salao</t>
        </is>
      </c>
      <c r="G47" s="2" t="inlineStr">
        <is>
          <t>Via da Beleza / Officina108</t>
        </is>
      </c>
      <c r="H47" s="3" t="inlineStr">
        <is>
          <t>@viadabeleza</t>
        </is>
      </c>
      <c r="I47" s="2" t="inlineStr">
        <is>
          <t>Santana</t>
        </is>
      </c>
      <c r="J47" s="2" t="n"/>
      <c r="K47" s="2" t="inlineStr"/>
      <c r="L47" s="2" t="inlineStr">
        <is>
          <t>nao encontrado</t>
        </is>
      </c>
      <c r="M47" s="2" t="inlineStr"/>
      <c r="N47" s="2" t="inlineStr"/>
      <c r="O47" s="3" t="inlineStr">
        <is>
          <t>Abrir prévia</t>
        </is>
      </c>
      <c r="P47" s="4" t="inlineStr">
        <is>
          <t>Oi, pessoal da Via da Beleza / Officina108! Sou o [SEU NOME], da Downway. Curto muito o trabalho de vocês aqui no Instagram. Montei uma prévia de site para a Via da Beleza / Officina108 só para vocês verem como fica: https://downway.com.br/demo/viadabeleza/
Quem procura "salão de beleza Santana" no Google cai nos concorrentes. Com o site, cai em vocês e já chama no WhatsApp. Abre no celular e me diz o que achou?</t>
        </is>
      </c>
      <c r="Q47" s="4" t="inlineStr">
        <is>
          <t>Oi! Conseguiu ver a prévia do site? Se quiser, ajusto cores, fotos ou textos para ficar com a cara de vocês. A prévia fica no ar por 7 dias.</t>
        </is>
      </c>
      <c r="R47" s="2" t="inlineStr">
        <is>
          <t>Novo</t>
        </is>
      </c>
      <c r="S47" s="5" t="n"/>
      <c r="T47" s="2" t="inlineStr"/>
      <c r="U47" s="4" t="inlineStr"/>
    </row>
    <row r="48" ht="96" customHeight="1">
      <c r="A48" s="2" t="n">
        <v>47</v>
      </c>
      <c r="B48" s="2" t="inlineStr">
        <is>
          <t>B</t>
        </is>
      </c>
      <c r="C48" s="2" t="n">
        <v>7</v>
      </c>
      <c r="D48" s="2" t="inlineStr">
        <is>
          <t>Profissional</t>
        </is>
      </c>
      <c r="E48" s="2" t="inlineStr">
        <is>
          <t>Advogado</t>
        </is>
      </c>
      <c r="F48" s="2" t="inlineStr">
        <is>
          <t>trabalhista</t>
        </is>
      </c>
      <c r="G48" s="2" t="inlineStr">
        <is>
          <t>Alexandre Ferreira Advocacia</t>
        </is>
      </c>
      <c r="H48" s="3" t="inlineStr">
        <is>
          <t>@alexandreferreira_adv</t>
        </is>
      </c>
      <c r="I48" s="2" t="inlineStr">
        <is>
          <t>São Paulo</t>
        </is>
      </c>
      <c r="J48" s="2" t="n"/>
      <c r="K48" s="2" t="inlineStr"/>
      <c r="L48" s="2" t="inlineStr">
        <is>
          <t>nao encontrado</t>
        </is>
      </c>
      <c r="M48" s="2" t="inlineStr"/>
      <c r="N48" s="2" t="inlineStr"/>
      <c r="O48" s="3" t="inlineStr">
        <is>
          <t>Abrir prévia</t>
        </is>
      </c>
      <c r="P48" s="4" t="inlineStr">
        <is>
          <t>Oi, Alexandre! Sou o [SEU NOME], da Downway. Acompanho seu conteúdo de direito trabalhista aqui no Instagram e montei uma prévia de site para você, já seguindo as regras de publicidade da OAB (Provimento 205/2021): https://downway.com.br/demo/alexandreferreira-adv/
Hoje, quem pesquisa "advogado trabalhista em São Paulo" no Google encontra outros profissionais. Com o site, essa pessoa chega até você e já fala no WhatsApp. Posso mostrar como fica no ar?</t>
        </is>
      </c>
      <c r="Q48" s="4" t="inlineStr">
        <is>
          <t>Oi! Conseguiu ver a prévia do site? Se quiser, ajusto cores, fotos ou textos para ficar com a cara do seu trabalho. A prévia fica no ar por 7 dias.</t>
        </is>
      </c>
      <c r="R48" s="2" t="inlineStr">
        <is>
          <t>Novo</t>
        </is>
      </c>
      <c r="S48" s="5" t="n"/>
      <c r="T48" s="2" t="inlineStr"/>
      <c r="U48" s="4" t="inlineStr">
        <is>
          <t>Confirmar área de atuação</t>
        </is>
      </c>
    </row>
    <row r="49" ht="96" customHeight="1">
      <c r="A49" s="2" t="n">
        <v>48</v>
      </c>
      <c r="B49" s="2" t="inlineStr">
        <is>
          <t>B</t>
        </is>
      </c>
      <c r="C49" s="2" t="n">
        <v>7</v>
      </c>
      <c r="D49" s="2" t="inlineStr">
        <is>
          <t>Profissional</t>
        </is>
      </c>
      <c r="E49" s="2" t="inlineStr">
        <is>
          <t>Advogado</t>
        </is>
      </c>
      <c r="F49" s="2" t="inlineStr">
        <is>
          <t>previdenciário</t>
        </is>
      </c>
      <c r="G49" s="2" t="inlineStr">
        <is>
          <t>Elisangela Coelho Advocacia</t>
        </is>
      </c>
      <c r="H49" s="3" t="inlineStr">
        <is>
          <t>@elisangelacoelhoadvogada</t>
        </is>
      </c>
      <c r="I49" s="2" t="inlineStr">
        <is>
          <t>São Paulo</t>
        </is>
      </c>
      <c r="J49" s="2" t="n"/>
      <c r="K49" s="2" t="inlineStr"/>
      <c r="L49" s="2" t="inlineStr">
        <is>
          <t>nao encontrado</t>
        </is>
      </c>
      <c r="M49" s="2" t="inlineStr"/>
      <c r="N49" s="2" t="inlineStr"/>
      <c r="O49" s="3" t="inlineStr">
        <is>
          <t>Abrir prévia</t>
        </is>
      </c>
      <c r="P49" s="4" t="inlineStr">
        <is>
          <t>Oi, Elisangela! Sou o [SEU NOME], da Downway. Acompanho seu conteúdo de direito previdenciário aqui no Instagram e montei uma prévia de site para você, já seguindo as regras de publicidade da OAB (Provimento 205/2021): https://downway.com.br/demo/elisangelacoelhoadvogada/
Hoje, quem pesquisa "advogado previdenciário em São Paulo" no Google encontra outros profissionais. Com o site, essa pessoa chega até você e já fala no WhatsApp. Posso mostrar como fica no ar?</t>
        </is>
      </c>
      <c r="Q49" s="4" t="inlineStr">
        <is>
          <t>Oi! Conseguiu ver a prévia do site? Se quiser, ajusto cores, fotos ou textos para ficar com a cara do seu trabalho. A prévia fica no ar por 7 dias.</t>
        </is>
      </c>
      <c r="R49" s="2" t="inlineStr">
        <is>
          <t>Novo</t>
        </is>
      </c>
      <c r="S49" s="5" t="n"/>
      <c r="T49" s="2" t="inlineStr"/>
      <c r="U49" s="4" t="inlineStr"/>
    </row>
    <row r="50" ht="96" customHeight="1">
      <c r="A50" s="2" t="n">
        <v>49</v>
      </c>
      <c r="B50" s="2" t="inlineStr">
        <is>
          <t>B</t>
        </is>
      </c>
      <c r="C50" s="2" t="n">
        <v>7</v>
      </c>
      <c r="D50" s="2" t="inlineStr">
        <is>
          <t>Profissional</t>
        </is>
      </c>
      <c r="E50" s="2" t="inlineStr">
        <is>
          <t>Advogado</t>
        </is>
      </c>
      <c r="F50" s="2" t="inlineStr">
        <is>
          <t>família</t>
        </is>
      </c>
      <c r="G50" s="2" t="inlineStr">
        <is>
          <t>Mariana Diaz Advocacia</t>
        </is>
      </c>
      <c r="H50" s="3" t="inlineStr">
        <is>
          <t>@marianagdiaz</t>
        </is>
      </c>
      <c r="I50" s="2" t="inlineStr">
        <is>
          <t>São Paulo</t>
        </is>
      </c>
      <c r="J50" s="2" t="n"/>
      <c r="K50" s="2" t="inlineStr"/>
      <c r="L50" s="2" t="inlineStr">
        <is>
          <t>nao encontrado</t>
        </is>
      </c>
      <c r="M50" s="2" t="inlineStr"/>
      <c r="N50" s="2" t="inlineStr"/>
      <c r="O50" s="3" t="inlineStr">
        <is>
          <t>Abrir prévia</t>
        </is>
      </c>
      <c r="P50" s="4" t="inlineStr">
        <is>
          <t>Oi, Mariana! Sou o [SEU NOME], da Downway. Acompanho seu conteúdo de direito de família aqui no Instagram e montei uma prévia de site para você, já seguindo as regras de publicidade da OAB (Provimento 205/2021): https://downway.com.br/demo/marianagdiaz/
Hoje, quem pesquisa "advogado de família em São Paulo" no Google encontra outros profissionais. Com o site, essa pessoa chega até você e já fala no WhatsApp. Posso mostrar como fica no ar?</t>
        </is>
      </c>
      <c r="Q50" s="4" t="inlineStr">
        <is>
          <t>Oi! Conseguiu ver a prévia do site? Se quiser, ajusto cores, fotos ou textos para ficar com a cara do seu trabalho. A prévia fica no ar por 7 dias.</t>
        </is>
      </c>
      <c r="R50" s="2" t="inlineStr">
        <is>
          <t>Novo</t>
        </is>
      </c>
      <c r="S50" s="5" t="n"/>
      <c r="T50" s="2" t="inlineStr"/>
      <c r="U50" s="4" t="inlineStr"/>
    </row>
    <row r="51" ht="96" customHeight="1">
      <c r="A51" s="2" t="n">
        <v>50</v>
      </c>
      <c r="B51" s="2" t="inlineStr">
        <is>
          <t>B</t>
        </is>
      </c>
      <c r="C51" s="2" t="n">
        <v>7</v>
      </c>
      <c r="D51" s="2" t="inlineStr">
        <is>
          <t>Profissional</t>
        </is>
      </c>
      <c r="E51" s="2" t="inlineStr">
        <is>
          <t>Advogado</t>
        </is>
      </c>
      <c r="F51" s="2" t="inlineStr">
        <is>
          <t>trabalhista</t>
        </is>
      </c>
      <c r="G51" s="2" t="inlineStr">
        <is>
          <t>Naylin Nunes Advocacia</t>
        </is>
      </c>
      <c r="H51" s="3" t="inlineStr">
        <is>
          <t>@naylinnunes</t>
        </is>
      </c>
      <c r="I51" s="2" t="inlineStr">
        <is>
          <t>São Paulo</t>
        </is>
      </c>
      <c r="J51" s="2" t="n"/>
      <c r="K51" s="2" t="inlineStr"/>
      <c r="L51" s="2" t="inlineStr">
        <is>
          <t>nao encontrado</t>
        </is>
      </c>
      <c r="M51" s="2" t="inlineStr"/>
      <c r="N51" s="2" t="inlineStr"/>
      <c r="O51" s="3" t="inlineStr">
        <is>
          <t>Abrir prévia</t>
        </is>
      </c>
      <c r="P51" s="4" t="inlineStr">
        <is>
          <t>Oi, Naylin! Sou o [SEU NOME], da Downway. Acompanho seu conteúdo de direito trabalhista aqui no Instagram e montei uma prévia de site para você, já seguindo as regras de publicidade da OAB (Provimento 205/2021): https://downway.com.br/demo/naylinnunes/
Hoje, quem pesquisa "advogado trabalhista em São Paulo" no Google encontra outros profissionais. Com o site, essa pessoa chega até você e já fala no WhatsApp. Posso mostrar como fica no ar?</t>
        </is>
      </c>
      <c r="Q51" s="4" t="inlineStr">
        <is>
          <t>Oi! Conseguiu ver a prévia do site? Se quiser, ajusto cores, fotos ou textos para ficar com a cara do seu trabalho. A prévia fica no ar por 7 dias.</t>
        </is>
      </c>
      <c r="R51" s="2" t="inlineStr">
        <is>
          <t>Novo</t>
        </is>
      </c>
      <c r="S51" s="5" t="n"/>
      <c r="T51" s="2" t="inlineStr"/>
      <c r="U51" s="4" t="inlineStr">
        <is>
          <t>Confirmar área de atuação</t>
        </is>
      </c>
    </row>
    <row r="52" ht="96" customHeight="1">
      <c r="A52" s="2" t="n">
        <v>51</v>
      </c>
      <c r="B52" s="2" t="inlineStr">
        <is>
          <t>B</t>
        </is>
      </c>
      <c r="C52" s="2" t="n">
        <v>7</v>
      </c>
      <c r="D52" s="2" t="inlineStr">
        <is>
          <t>Profissional</t>
        </is>
      </c>
      <c r="E52" s="2" t="inlineStr">
        <is>
          <t>Advogado</t>
        </is>
      </c>
      <c r="F52" s="2" t="inlineStr">
        <is>
          <t>previdenciário</t>
        </is>
      </c>
      <c r="G52" s="2" t="inlineStr">
        <is>
          <t>Taís Santos Advocacia</t>
        </is>
      </c>
      <c r="H52" s="3" t="inlineStr">
        <is>
          <t>@taissantosadv</t>
        </is>
      </c>
      <c r="I52" s="2" t="inlineStr">
        <is>
          <t>São Paulo</t>
        </is>
      </c>
      <c r="J52" s="2" t="n"/>
      <c r="K52" s="2" t="inlineStr"/>
      <c r="L52" s="2" t="inlineStr">
        <is>
          <t>nao encontrado</t>
        </is>
      </c>
      <c r="M52" s="2" t="inlineStr"/>
      <c r="N52" s="2" t="inlineStr"/>
      <c r="O52" s="3" t="inlineStr">
        <is>
          <t>Abrir prévia</t>
        </is>
      </c>
      <c r="P52" s="4" t="inlineStr">
        <is>
          <t>Oi, Taís! Sou o [SEU NOME], da Downway. Acompanho seu conteúdo de direito previdenciário aqui no Instagram e montei uma prévia de site para você, já seguindo as regras de publicidade da OAB (Provimento 205/2021): https://downway.com.br/demo/taissantosadv/
Hoje, quem pesquisa "advogado previdenciário em São Paulo" no Google encontra outros profissionais. Com o site, essa pessoa chega até você e já fala no WhatsApp. Posso mostrar como fica no ar?</t>
        </is>
      </c>
      <c r="Q52" s="4" t="inlineStr">
        <is>
          <t>Oi! Conseguiu ver a prévia do site? Se quiser, ajusto cores, fotos ou textos para ficar com a cara do seu trabalho. A prévia fica no ar por 7 dias.</t>
        </is>
      </c>
      <c r="R52" s="2" t="inlineStr">
        <is>
          <t>Novo</t>
        </is>
      </c>
      <c r="S52" s="5" t="n"/>
      <c r="T52" s="2" t="inlineStr"/>
      <c r="U52" s="4" t="inlineStr"/>
    </row>
    <row r="53" ht="96" customHeight="1">
      <c r="A53" s="2" t="n">
        <v>52</v>
      </c>
      <c r="B53" s="2" t="inlineStr">
        <is>
          <t>B</t>
        </is>
      </c>
      <c r="C53" s="2" t="n">
        <v>7</v>
      </c>
      <c r="D53" s="2" t="inlineStr">
        <is>
          <t>Profissional</t>
        </is>
      </c>
      <c r="E53" s="2" t="inlineStr">
        <is>
          <t>Dentista</t>
        </is>
      </c>
      <c r="F53" s="2" t="inlineStr">
        <is>
          <t>odontologia</t>
        </is>
      </c>
      <c r="G53" s="2" t="inlineStr">
        <is>
          <t>Dentecare Ipiranga</t>
        </is>
      </c>
      <c r="H53" s="3" t="inlineStr">
        <is>
          <t>@dentecare.ipiranga</t>
        </is>
      </c>
      <c r="I53" s="2" t="inlineStr">
        <is>
          <t>Ipiranga</t>
        </is>
      </c>
      <c r="J53" s="2" t="n">
        <v>573</v>
      </c>
      <c r="K53" s="2" t="inlineStr">
        <is>
          <t>CRO 112844 (RT)</t>
        </is>
      </c>
      <c r="L53" s="2" t="inlineStr">
        <is>
          <t>nao encontrado</t>
        </is>
      </c>
      <c r="M53" s="2" t="inlineStr"/>
      <c r="N53" s="2" t="inlineStr"/>
      <c r="O53" s="3" t="inlineStr">
        <is>
          <t>Abrir prévia</t>
        </is>
      </c>
      <c r="P53" s="4" t="inlineStr">
        <is>
          <t>Oi, pessoal da Dentecare Ipiranga! Sou o [SEU NOME], da Downway. Acompanho o conteúdo de vocês de odontologia aqui no Instagram e montei uma prévia de site para a Dentecare Ipiranga, já com CRO e responsável técnico em destaque: https://downway.com.br/demo/dentecare-ipiranga/
Hoje, quem pesquisa "dentista no Ipiranga" no Google encontra outros profissionais. Com o site, essa pessoa chega até vocês e já fala no WhatsApp. Posso mostrar como fica no ar?</t>
        </is>
      </c>
      <c r="Q53" s="4" t="inlineStr">
        <is>
          <t>Oi! Conseguiu ver a prévia do site? Se quiser, ajusto cores, fotos ou textos para ficar com a cara do seu trabalho. A prévia fica no ar por 7 dias.</t>
        </is>
      </c>
      <c r="R53" s="2" t="inlineStr">
        <is>
          <t>Novo</t>
        </is>
      </c>
      <c r="S53" s="5" t="n"/>
      <c r="T53" s="2" t="inlineStr"/>
      <c r="U53" s="4" t="inlineStr">
        <is>
          <t>Perfil pequeno</t>
        </is>
      </c>
    </row>
    <row r="54" ht="96" customHeight="1">
      <c r="A54" s="2" t="n">
        <v>53</v>
      </c>
      <c r="B54" s="2" t="inlineStr">
        <is>
          <t>B</t>
        </is>
      </c>
      <c r="C54" s="2" t="n">
        <v>7</v>
      </c>
      <c r="D54" s="2" t="inlineStr">
        <is>
          <t>Profissional</t>
        </is>
      </c>
      <c r="E54" s="2" t="inlineStr">
        <is>
          <t>Nutricionista</t>
        </is>
      </c>
      <c r="F54" s="2" t="inlineStr">
        <is>
          <t>nutrição</t>
        </is>
      </c>
      <c r="G54" s="2" t="inlineStr">
        <is>
          <t>Gabi Gavioli Nutricionista</t>
        </is>
      </c>
      <c r="H54" s="3" t="inlineStr">
        <is>
          <t>@gabigaviolinutri</t>
        </is>
      </c>
      <c r="I54" s="2" t="inlineStr">
        <is>
          <t>São Paulo</t>
        </is>
      </c>
      <c r="J54" s="2" t="n"/>
      <c r="K54" s="2" t="inlineStr"/>
      <c r="L54" s="2" t="inlineStr">
        <is>
          <t>nao encontrado</t>
        </is>
      </c>
      <c r="M54" s="2" t="inlineStr"/>
      <c r="N54" s="2" t="inlineStr"/>
      <c r="O54" s="3" t="inlineStr">
        <is>
          <t>Abrir prévia</t>
        </is>
      </c>
      <c r="P54" s="4" t="inlineStr">
        <is>
          <t>Oi, Gabi! Sou o [SEU NOME], da Downway. Acompanho seu conteúdo de nutrição aqui no Instagram e montei uma prévia de site para você, já com o CRN em destaque e dentro das regras do conselho: https://downway.com.br/demo/gabigaviolinutri/
Hoje, quem pesquisa "nutricionista em São Paulo" no Google encontra outros profissionais. Com o site, essa pessoa chega até você e já fala no WhatsApp. Posso mostrar como fica no ar?</t>
        </is>
      </c>
      <c r="Q54" s="4" t="inlineStr">
        <is>
          <t>Oi! Conseguiu ver a prévia do site? Se quiser, ajusto cores, fotos ou textos para ficar com a cara do seu trabalho. A prévia fica no ar por 7 dias.</t>
        </is>
      </c>
      <c r="R54" s="2" t="inlineStr">
        <is>
          <t>Novo</t>
        </is>
      </c>
      <c r="S54" s="5" t="n"/>
      <c r="T54" s="2" t="inlineStr"/>
      <c r="U54" s="4" t="inlineStr"/>
    </row>
    <row r="55" ht="96" customHeight="1">
      <c r="A55" s="2" t="n">
        <v>54</v>
      </c>
      <c r="B55" s="2" t="inlineStr">
        <is>
          <t>B</t>
        </is>
      </c>
      <c r="C55" s="2" t="n">
        <v>7</v>
      </c>
      <c r="D55" s="2" t="inlineStr">
        <is>
          <t>Profissional</t>
        </is>
      </c>
      <c r="E55" s="2" t="inlineStr">
        <is>
          <t>Quiropraxia/Fisio</t>
        </is>
      </c>
      <c r="F55" s="2" t="inlineStr">
        <is>
          <t>quiropraxia</t>
        </is>
      </c>
      <c r="G55" s="2" t="inlineStr">
        <is>
          <t>Carlos Diaz Quiropraxia</t>
        </is>
      </c>
      <c r="H55" s="3" t="inlineStr">
        <is>
          <t>@carlosdiaz_quiropraxia</t>
        </is>
      </c>
      <c r="I55" s="2" t="inlineStr">
        <is>
          <t>Santana</t>
        </is>
      </c>
      <c r="J55" s="2" t="n"/>
      <c r="K55" s="2" t="inlineStr"/>
      <c r="L55" s="2" t="inlineStr">
        <is>
          <t>nao encontrado</t>
        </is>
      </c>
      <c r="M55" s="2" t="inlineStr"/>
      <c r="N55" s="2" t="inlineStr"/>
      <c r="O55" s="3" t="inlineStr">
        <is>
          <t>Abrir prévia</t>
        </is>
      </c>
      <c r="P55" s="4" t="inlineStr">
        <is>
          <t>Oi, Carlos! Sou o [SEU NOME], da Downway. Acompanho seu conteúdo de quiropraxia aqui no Instagram e montei uma prévia de site para você, com agendamento direto pelo WhatsApp: https://downway.com.br/demo/carlosdiaz-quiropraxia/
Hoje, quem pesquisa "quiropraxia na zona norte" no Google encontra outros profissionais. Com o site, essa pessoa chega até você e já fala no WhatsApp. Posso mostrar como fica no ar?</t>
        </is>
      </c>
      <c r="Q55" s="4" t="inlineStr">
        <is>
          <t>Oi! Conseguiu ver a prévia do site? Se quiser, ajusto cores, fotos ou textos para ficar com a cara do seu trabalho. A prévia fica no ar por 7 dias.</t>
        </is>
      </c>
      <c r="R55" s="2" t="inlineStr">
        <is>
          <t>Novo</t>
        </is>
      </c>
      <c r="S55" s="5" t="n"/>
      <c r="T55" s="2" t="inlineStr"/>
      <c r="U55" s="4" t="inlineStr">
        <is>
          <t>Atende na Provital Santana</t>
        </is>
      </c>
    </row>
    <row r="56" ht="96" customHeight="1">
      <c r="A56" s="2" t="n">
        <v>55</v>
      </c>
      <c r="B56" s="2" t="inlineStr">
        <is>
          <t>B</t>
        </is>
      </c>
      <c r="C56" s="2" t="n">
        <v>7</v>
      </c>
      <c r="D56" s="2" t="inlineStr">
        <is>
          <t>Profissional</t>
        </is>
      </c>
      <c r="E56" s="2" t="inlineStr">
        <is>
          <t>Quiropraxia/Fisio</t>
        </is>
      </c>
      <c r="F56" s="2" t="inlineStr">
        <is>
          <t>quiropraxia</t>
        </is>
      </c>
      <c r="G56" s="2" t="inlineStr">
        <is>
          <t>Gabriela Ferreira Fisioterapia</t>
        </is>
      </c>
      <c r="H56" s="3" t="inlineStr">
        <is>
          <t>@gferreira_fisio</t>
        </is>
      </c>
      <c r="I56" s="2" t="inlineStr">
        <is>
          <t>São Paulo</t>
        </is>
      </c>
      <c r="J56" s="2" t="n"/>
      <c r="K56" s="2" t="inlineStr"/>
      <c r="L56" s="2" t="inlineStr">
        <is>
          <t>nao encontrado</t>
        </is>
      </c>
      <c r="M56" s="2" t="inlineStr"/>
      <c r="N56" s="2" t="inlineStr"/>
      <c r="O56" s="3" t="inlineStr">
        <is>
          <t>Abrir prévia</t>
        </is>
      </c>
      <c r="P56" s="4" t="inlineStr">
        <is>
          <t>Oi, Gabriela! Sou o [SEU NOME], da Downway. Acompanho seu conteúdo de quiropraxia aqui no Instagram e montei uma prévia de site para você, com agendamento direto pelo WhatsApp: https://downway.com.br/demo/gferreira-fisio/
Hoje, quem pesquisa "quiropraxia na zona norte" no Google encontra outros profissionais. Com o site, essa pessoa chega até você e já fala no WhatsApp. Posso mostrar como fica no ar?</t>
        </is>
      </c>
      <c r="Q56" s="4" t="inlineStr">
        <is>
          <t>Oi! Conseguiu ver a prévia do site? Se quiser, ajusto cores, fotos ou textos para ficar com a cara do seu trabalho. A prévia fica no ar por 7 dias.</t>
        </is>
      </c>
      <c r="R56" s="2" t="inlineStr">
        <is>
          <t>Novo</t>
        </is>
      </c>
      <c r="S56" s="5" t="n"/>
      <c r="T56" s="2" t="inlineStr"/>
      <c r="U56" s="4" t="inlineStr"/>
    </row>
    <row r="57" ht="96" customHeight="1">
      <c r="A57" s="2" t="n">
        <v>56</v>
      </c>
      <c r="B57" s="2" t="inlineStr">
        <is>
          <t>A</t>
        </is>
      </c>
      <c r="C57" s="2" t="n">
        <v>6</v>
      </c>
      <c r="D57" s="2" t="inlineStr">
        <is>
          <t>Negócio local</t>
        </is>
      </c>
      <c r="E57" s="2" t="inlineStr">
        <is>
          <t>Barbearia</t>
        </is>
      </c>
      <c r="F57" s="2" t="inlineStr">
        <is>
          <t>barbearia</t>
        </is>
      </c>
      <c r="G57" s="2" t="inlineStr">
        <is>
          <t>Barbearia Formoso</t>
        </is>
      </c>
      <c r="H57" s="3" t="inlineStr">
        <is>
          <t>@barbeariaformoso</t>
        </is>
      </c>
      <c r="I57" s="2" t="inlineStr">
        <is>
          <t>Vila Carrão / Vila Formosa / Tatuapé</t>
        </is>
      </c>
      <c r="J57" s="2" t="n"/>
      <c r="K57" s="2" t="inlineStr"/>
      <c r="L57" s="2" t="inlineStr">
        <is>
          <t>nao encontrado</t>
        </is>
      </c>
      <c r="M57" s="2" t="inlineStr"/>
      <c r="N57" s="2" t="inlineStr"/>
      <c r="O57" s="3" t="inlineStr">
        <is>
          <t>Abrir prévia</t>
        </is>
      </c>
      <c r="P57" s="4" t="inlineStr">
        <is>
          <t>Oi, pessoal da Barbearia Formoso! Sou o [SEU NOME], da Downway. Curto muito o trabalho de vocês aqui no Instagram. Montei uma prévia de site para a Barbearia Formoso só para vocês verem como fica: https://downway.com.br/demo/barbeariaformoso/
Quem procura "barbearia Vila Carrão / Vila Formosa / Tatuapé" no Google cai nos concorrentes. Com o site, cai em vocês e já chama no WhatsApp. Abre no celular e me diz o que achou?</t>
        </is>
      </c>
      <c r="Q57" s="4" t="inlineStr">
        <is>
          <t>Oi! Conseguiu ver a prévia do site? Se quiser, ajusto cores, fotos ou textos para ficar com a cara de vocês. A prévia fica no ar por 7 dias.</t>
        </is>
      </c>
      <c r="R57" s="2" t="inlineStr">
        <is>
          <t>Novo</t>
        </is>
      </c>
      <c r="S57" s="5" t="n"/>
      <c r="T57" s="2" t="inlineStr"/>
      <c r="U57" s="4" t="inlineStr">
        <is>
          <t>Várias unidades = precisa de site com página por unidade</t>
        </is>
      </c>
    </row>
    <row r="58" ht="96" customHeight="1">
      <c r="A58" s="2" t="n">
        <v>57</v>
      </c>
      <c r="B58" s="2" t="inlineStr">
        <is>
          <t>A</t>
        </is>
      </c>
      <c r="C58" s="2" t="n">
        <v>6</v>
      </c>
      <c r="D58" s="2" t="inlineStr">
        <is>
          <t>Negócio local</t>
        </is>
      </c>
      <c r="E58" s="2" t="inlineStr">
        <is>
          <t>Barbearia</t>
        </is>
      </c>
      <c r="F58" s="2" t="inlineStr">
        <is>
          <t>barbearia</t>
        </is>
      </c>
      <c r="G58" s="2" t="inlineStr">
        <is>
          <t>Barbearia Império Tatuapé</t>
        </is>
      </c>
      <c r="H58" s="3" t="inlineStr">
        <is>
          <t>@barbeariaimperio.tatuape</t>
        </is>
      </c>
      <c r="I58" s="2" t="inlineStr">
        <is>
          <t>Tatuapé</t>
        </is>
      </c>
      <c r="J58" s="2" t="n"/>
      <c r="K58" s="2" t="inlineStr"/>
      <c r="L58" s="2" t="inlineStr">
        <is>
          <t>nao encontrado</t>
        </is>
      </c>
      <c r="M58" s="2" t="inlineStr"/>
      <c r="N58" s="2" t="inlineStr"/>
      <c r="O58" s="3" t="inlineStr">
        <is>
          <t>Abrir prévia</t>
        </is>
      </c>
      <c r="P58" s="4" t="inlineStr">
        <is>
          <t>Oi, pessoal da Barbearia Império Tatuapé! Sou o [SEU NOME], da Downway. Curto muito o trabalho de vocês aqui no Instagram. Montei uma prévia de site para a Barbearia Império Tatuapé só para vocês verem como fica: https://downway.com.br/demo/barbeariaimperio-tatuape/
Quem procura "barbearia Tatuapé" no Google cai nos concorrentes. Com o site, cai em vocês e já chama no WhatsApp. Abre no celular e me diz o que achou?</t>
        </is>
      </c>
      <c r="Q58" s="4" t="inlineStr">
        <is>
          <t>Oi! Conseguiu ver a prévia do site? Se quiser, ajusto cores, fotos ou textos para ficar com a cara de vocês. A prévia fica no ar por 7 dias.</t>
        </is>
      </c>
      <c r="R58" s="2" t="inlineStr">
        <is>
          <t>Novo</t>
        </is>
      </c>
      <c r="S58" s="5" t="n"/>
      <c r="T58" s="2" t="inlineStr"/>
      <c r="U58" s="4" t="inlineStr"/>
    </row>
    <row r="59" ht="96" customHeight="1">
      <c r="A59" s="2" t="n">
        <v>58</v>
      </c>
      <c r="B59" s="2" t="inlineStr">
        <is>
          <t>A</t>
        </is>
      </c>
      <c r="C59" s="2" t="n">
        <v>6</v>
      </c>
      <c r="D59" s="2" t="inlineStr">
        <is>
          <t>Negócio local</t>
        </is>
      </c>
      <c r="E59" s="2" t="inlineStr">
        <is>
          <t>Barbearia</t>
        </is>
      </c>
      <c r="F59" s="2" t="inlineStr">
        <is>
          <t>barbearia</t>
        </is>
      </c>
      <c r="G59" s="2" t="inlineStr">
        <is>
          <t>Barbearia Rico Vallente</t>
        </is>
      </c>
      <c r="H59" s="3" t="inlineStr">
        <is>
          <t>@ricovallentebarbearia</t>
        </is>
      </c>
      <c r="I59" s="2" t="inlineStr">
        <is>
          <t>Tatuapé</t>
        </is>
      </c>
      <c r="J59" s="2" t="n"/>
      <c r="K59" s="2" t="inlineStr"/>
      <c r="L59" s="2" t="inlineStr">
        <is>
          <t>nao encontrado</t>
        </is>
      </c>
      <c r="M59" s="2" t="inlineStr"/>
      <c r="N59" s="2" t="inlineStr"/>
      <c r="O59" s="3" t="inlineStr">
        <is>
          <t>Abrir prévia</t>
        </is>
      </c>
      <c r="P59" s="4" t="inlineStr">
        <is>
          <t>Oi, pessoal da Barbearia Rico Vallente! Sou o [SEU NOME], da Downway. Curto muito o trabalho de vocês aqui no Instagram. Montei uma prévia de site para a Barbearia Rico Vallente só para vocês verem como fica: https://downway.com.br/demo/ricovallentebarbearia/
Quem procura "barbearia Tatuapé" no Google cai nos concorrentes. Com o site, cai em vocês e já chama no WhatsApp. Abre no celular e me diz o que achou?</t>
        </is>
      </c>
      <c r="Q59" s="4" t="inlineStr">
        <is>
          <t>Oi! Conseguiu ver a prévia do site? Se quiser, ajusto cores, fotos ou textos para ficar com a cara de vocês. A prévia fica no ar por 7 dias.</t>
        </is>
      </c>
      <c r="R59" s="2" t="inlineStr">
        <is>
          <t>Novo</t>
        </is>
      </c>
      <c r="S59" s="5" t="n"/>
      <c r="T59" s="2" t="inlineStr"/>
      <c r="U59" s="4" t="inlineStr"/>
    </row>
    <row r="60" ht="96" customHeight="1">
      <c r="A60" s="2" t="n">
        <v>59</v>
      </c>
      <c r="B60" s="2" t="inlineStr">
        <is>
          <t>A</t>
        </is>
      </c>
      <c r="C60" s="2" t="n">
        <v>6</v>
      </c>
      <c r="D60" s="2" t="inlineStr">
        <is>
          <t>Negócio local</t>
        </is>
      </c>
      <c r="E60" s="2" t="inlineStr">
        <is>
          <t>Barbearia</t>
        </is>
      </c>
      <c r="F60" s="2" t="inlineStr">
        <is>
          <t>barbearia</t>
        </is>
      </c>
      <c r="G60" s="2" t="inlineStr">
        <is>
          <t>Burks Barbearia</t>
        </is>
      </c>
      <c r="H60" s="3" t="inlineStr">
        <is>
          <t>@burks.barbearia</t>
        </is>
      </c>
      <c r="I60" s="2" t="inlineStr">
        <is>
          <t>Mooca</t>
        </is>
      </c>
      <c r="J60" s="2" t="n"/>
      <c r="K60" s="2" t="inlineStr"/>
      <c r="L60" s="2" t="inlineStr">
        <is>
          <t>nao encontrado</t>
        </is>
      </c>
      <c r="M60" s="2" t="inlineStr"/>
      <c r="N60" s="2" t="inlineStr"/>
      <c r="O60" s="3" t="inlineStr">
        <is>
          <t>Abrir prévia</t>
        </is>
      </c>
      <c r="P60" s="4" t="inlineStr">
        <is>
          <t>Oi, pessoal da Burks Barbearia! Sou o [SEU NOME], da Downway. Curto muito o trabalho de vocês aqui no Instagram. Montei uma prévia de site para a Burks Barbearia só para vocês verem como fica: https://downway.com.br/demo/burks-barbearia/
Quem procura "barbearia Mooca" no Google cai nos concorrentes. Com o site, cai em vocês e já chama no WhatsApp. Abre no celular e me diz o que achou?</t>
        </is>
      </c>
      <c r="Q60" s="4" t="inlineStr">
        <is>
          <t>Oi! Conseguiu ver a prévia do site? Se quiser, ajusto cores, fotos ou textos para ficar com a cara de vocês. A prévia fica no ar por 7 dias.</t>
        </is>
      </c>
      <c r="R60" s="2" t="inlineStr">
        <is>
          <t>Novo</t>
        </is>
      </c>
      <c r="S60" s="5" t="n"/>
      <c r="T60" s="2" t="inlineStr"/>
      <c r="U60" s="4" t="inlineStr">
        <is>
          <t>Diferencial forte para a página (experiência)</t>
        </is>
      </c>
    </row>
    <row r="61" ht="96" customHeight="1">
      <c r="A61" s="2" t="n">
        <v>60</v>
      </c>
      <c r="B61" s="2" t="inlineStr">
        <is>
          <t>A</t>
        </is>
      </c>
      <c r="C61" s="2" t="n">
        <v>6</v>
      </c>
      <c r="D61" s="2" t="inlineStr">
        <is>
          <t>Negócio local</t>
        </is>
      </c>
      <c r="E61" s="2" t="inlineStr">
        <is>
          <t>Barbearia</t>
        </is>
      </c>
      <c r="F61" s="2" t="inlineStr">
        <is>
          <t>barbearia</t>
        </is>
      </c>
      <c r="G61" s="2" t="inlineStr">
        <is>
          <t>Meu Barbeiro</t>
        </is>
      </c>
      <c r="H61" s="3" t="inlineStr">
        <is>
          <t>@meu_barbeiro</t>
        </is>
      </c>
      <c r="I61" s="2" t="inlineStr">
        <is>
          <t>Tatuapé</t>
        </is>
      </c>
      <c r="J61" s="2" t="n"/>
      <c r="K61" s="2" t="inlineStr"/>
      <c r="L61" s="2" t="inlineStr">
        <is>
          <t>nao encontrado</t>
        </is>
      </c>
      <c r="M61" s="2" t="inlineStr"/>
      <c r="N61" s="2" t="inlineStr"/>
      <c r="O61" s="3" t="inlineStr">
        <is>
          <t>Abrir prévia</t>
        </is>
      </c>
      <c r="P61" s="4" t="inlineStr">
        <is>
          <t>Oi, pessoal da Meu Barbeiro! Sou o [SEU NOME], da Downway. Curto muito o trabalho de vocês aqui no Instagram. Montei uma prévia de site para a Meu Barbeiro só para vocês verem como fica: https://downway.com.br/demo/meu-barbeiro/
Quem procura "barbearia Tatuapé" no Google cai nos concorrentes. Com o site, cai em vocês e já chama no WhatsApp. Abre no celular e me diz o que achou?</t>
        </is>
      </c>
      <c r="Q61" s="4" t="inlineStr">
        <is>
          <t>Oi! Conseguiu ver a prévia do site? Se quiser, ajusto cores, fotos ou textos para ficar com a cara de vocês. A prévia fica no ar por 7 dias.</t>
        </is>
      </c>
      <c r="R61" s="2" t="inlineStr">
        <is>
          <t>Novo</t>
        </is>
      </c>
      <c r="S61" s="5" t="n"/>
      <c r="T61" s="2" t="inlineStr"/>
      <c r="U61" s="4" t="inlineStr"/>
    </row>
    <row r="62" ht="96" customHeight="1">
      <c r="A62" s="2" t="n">
        <v>61</v>
      </c>
      <c r="B62" s="2" t="inlineStr">
        <is>
          <t>A</t>
        </is>
      </c>
      <c r="C62" s="2" t="n">
        <v>6</v>
      </c>
      <c r="D62" s="2" t="inlineStr">
        <is>
          <t>Negócio local</t>
        </is>
      </c>
      <c r="E62" s="2" t="inlineStr">
        <is>
          <t>Clínica de estética</t>
        </is>
      </c>
      <c r="F62" s="2" t="inlineStr">
        <is>
          <t>estetica</t>
        </is>
      </c>
      <c r="G62" s="2" t="inlineStr">
        <is>
          <t>Clínica Harmonize</t>
        </is>
      </c>
      <c r="H62" s="3" t="inlineStr">
        <is>
          <t>@clinicaharmonize.estetica</t>
        </is>
      </c>
      <c r="I62" s="2" t="inlineStr">
        <is>
          <t>São Paulo</t>
        </is>
      </c>
      <c r="J62" s="2" t="n"/>
      <c r="K62" s="2" t="inlineStr"/>
      <c r="L62" s="2" t="inlineStr">
        <is>
          <t>nao encontrado</t>
        </is>
      </c>
      <c r="M62" s="2" t="inlineStr"/>
      <c r="N62" s="2" t="inlineStr"/>
      <c r="O62" s="3" t="inlineStr">
        <is>
          <t>Abrir prévia</t>
        </is>
      </c>
      <c r="P62" s="4" t="inlineStr">
        <is>
          <t>Oi, pessoal da Clínica Harmonize! Sou o [SEU NOME], da Downway. Curto muito o trabalho de vocês aqui no Instagram. Montei uma prévia de site para a Clínica Harmonize só para vocês verem como fica: https://downway.com.br/demo/clinicaharmonize-estetica/
Quem procura "clínica de estética São Paulo" no Google cai nos concorrentes. Com o site, cai em vocês e já chama no WhatsApp. Abre no celular e me diz o que achou?</t>
        </is>
      </c>
      <c r="Q62" s="4" t="inlineStr">
        <is>
          <t>Oi! Conseguiu ver a prévia do site? Se quiser, ajusto cores, fotos ou textos para ficar com a cara de vocês. A prévia fica no ar por 7 dias.</t>
        </is>
      </c>
      <c r="R62" s="2" t="inlineStr">
        <is>
          <t>Novo</t>
        </is>
      </c>
      <c r="S62" s="5" t="n"/>
      <c r="T62" s="2" t="inlineStr"/>
      <c r="U62" s="4" t="inlineStr"/>
    </row>
    <row r="63" ht="96" customHeight="1">
      <c r="A63" s="2" t="n">
        <v>62</v>
      </c>
      <c r="B63" s="2" t="inlineStr">
        <is>
          <t>A</t>
        </is>
      </c>
      <c r="C63" s="2" t="n">
        <v>6</v>
      </c>
      <c r="D63" s="2" t="inlineStr">
        <is>
          <t>Negócio local</t>
        </is>
      </c>
      <c r="E63" s="2" t="inlineStr">
        <is>
          <t>Clínica de estética</t>
        </is>
      </c>
      <c r="F63" s="2" t="inlineStr">
        <is>
          <t>estetica</t>
        </is>
      </c>
      <c r="G63" s="2" t="inlineStr">
        <is>
          <t>Estetic Lux</t>
        </is>
      </c>
      <c r="H63" s="3" t="inlineStr">
        <is>
          <t>@esteticlux</t>
        </is>
      </c>
      <c r="I63" s="2" t="inlineStr">
        <is>
          <t>Mandaqui</t>
        </is>
      </c>
      <c r="J63" s="2" t="n"/>
      <c r="K63" s="2" t="inlineStr"/>
      <c r="L63" s="2" t="inlineStr">
        <is>
          <t>nao encontrado</t>
        </is>
      </c>
      <c r="M63" s="2" t="inlineStr"/>
      <c r="N63" s="2" t="inlineStr"/>
      <c r="O63" s="3" t="inlineStr">
        <is>
          <t>Abrir prévia</t>
        </is>
      </c>
      <c r="P63" s="4" t="inlineStr">
        <is>
          <t>Oi, pessoal da Estetic Lux! Sou o [SEU NOME], da Downway. Curto muito o trabalho de vocês aqui no Instagram. Montei uma prévia de site para a Estetic Lux só para vocês verem como fica: https://downway.com.br/demo/esteticlux/
Quem procura "clínica de estética Mandaqui" no Google cai nos concorrentes. Com o site, cai em vocês e já chama no WhatsApp. Abre no celular e me diz o que achou?</t>
        </is>
      </c>
      <c r="Q63" s="4" t="inlineStr">
        <is>
          <t>Oi! Conseguiu ver a prévia do site? Se quiser, ajusto cores, fotos ou textos para ficar com a cara de vocês. A prévia fica no ar por 7 dias.</t>
        </is>
      </c>
      <c r="R63" s="2" t="inlineStr">
        <is>
          <t>Novo</t>
        </is>
      </c>
      <c r="S63" s="5" t="n"/>
      <c r="T63" s="2" t="inlineStr"/>
      <c r="U63" s="4" t="inlineStr"/>
    </row>
    <row r="64" ht="96" customHeight="1">
      <c r="A64" s="2" t="n">
        <v>63</v>
      </c>
      <c r="B64" s="2" t="inlineStr">
        <is>
          <t>A</t>
        </is>
      </c>
      <c r="C64" s="2" t="n">
        <v>6</v>
      </c>
      <c r="D64" s="2" t="inlineStr">
        <is>
          <t>Negócio local</t>
        </is>
      </c>
      <c r="E64" s="2" t="inlineStr">
        <is>
          <t>Confeitaria</t>
        </is>
      </c>
      <c r="F64" s="2" t="inlineStr">
        <is>
          <t>confeitaria</t>
        </is>
      </c>
      <c r="G64" s="2" t="inlineStr">
        <is>
          <t>Arte Bolos São Paulo</t>
        </is>
      </c>
      <c r="H64" s="3" t="inlineStr">
        <is>
          <t>@artebolossaopaulo</t>
        </is>
      </c>
      <c r="I64" s="2" t="inlineStr">
        <is>
          <t>São Paulo</t>
        </is>
      </c>
      <c r="J64" s="2" t="n"/>
      <c r="K64" s="2" t="inlineStr"/>
      <c r="L64" s="2" t="inlineStr">
        <is>
          <t>nao encontrado</t>
        </is>
      </c>
      <c r="M64" s="2" t="inlineStr"/>
      <c r="N64" s="2" t="inlineStr"/>
      <c r="O64" s="3" t="inlineStr">
        <is>
          <t>Abrir prévia</t>
        </is>
      </c>
      <c r="P64" s="4" t="inlineStr">
        <is>
          <t>Oi, pessoal da Arte Bolos São Paulo! Sou o [SEU NOME], da Downway. Curto muito o trabalho de vocês aqui no Instagram. Montei uma prévia de site para a Arte Bolos São Paulo só para vocês verem como fica: https://downway.com.br/demo/artebolossaopaulo/
Quem procura "confeitaria São Paulo" no Google cai nos concorrentes. Com o site, cai em vocês e já chama no WhatsApp. Abre no celular e me diz o que achou?</t>
        </is>
      </c>
      <c r="Q64" s="4" t="inlineStr">
        <is>
          <t>Oi! Conseguiu ver a prévia do site? Se quiser, ajusto cores, fotos ou textos para ficar com a cara de vocês. A prévia fica no ar por 7 dias.</t>
        </is>
      </c>
      <c r="R64" s="2" t="inlineStr">
        <is>
          <t>Novo</t>
        </is>
      </c>
      <c r="S64" s="5" t="n"/>
      <c r="T64" s="2" t="inlineStr"/>
      <c r="U64" s="4" t="inlineStr"/>
    </row>
    <row r="65" ht="96" customHeight="1">
      <c r="A65" s="2" t="n">
        <v>64</v>
      </c>
      <c r="B65" s="2" t="inlineStr">
        <is>
          <t>A</t>
        </is>
      </c>
      <c r="C65" s="2" t="n">
        <v>6</v>
      </c>
      <c r="D65" s="2" t="inlineStr">
        <is>
          <t>Negócio local</t>
        </is>
      </c>
      <c r="E65" s="2" t="inlineStr">
        <is>
          <t>Confeitaria</t>
        </is>
      </c>
      <c r="F65" s="2" t="inlineStr">
        <is>
          <t>confeitaria</t>
        </is>
      </c>
      <c r="G65" s="2" t="inlineStr">
        <is>
          <t>Bubri Confeitaria</t>
        </is>
      </c>
      <c r="H65" s="3" t="inlineStr">
        <is>
          <t>@bubriconfeitaria</t>
        </is>
      </c>
      <c r="I65" s="2" t="inlineStr">
        <is>
          <t>São Paulo</t>
        </is>
      </c>
      <c r="J65" s="2" t="n"/>
      <c r="K65" s="2" t="inlineStr"/>
      <c r="L65" s="2" t="inlineStr">
        <is>
          <t>nao encontrado</t>
        </is>
      </c>
      <c r="M65" s="2" t="inlineStr"/>
      <c r="N65" s="2" t="inlineStr"/>
      <c r="O65" s="3" t="inlineStr">
        <is>
          <t>Abrir prévia</t>
        </is>
      </c>
      <c r="P65" s="4" t="inlineStr">
        <is>
          <t>Oi, pessoal da Bubri Confeitaria! Sou o [SEU NOME], da Downway. Curto muito o trabalho de vocês aqui no Instagram. Montei uma prévia de site para a Bubri Confeitaria só para vocês verem como fica: https://downway.com.br/demo/bubriconfeitaria/
Quem procura "confeitaria São Paulo" no Google cai nos concorrentes. Com o site, cai em vocês e já chama no WhatsApp. Abre no celular e me diz o que achou?</t>
        </is>
      </c>
      <c r="Q65" s="4" t="inlineStr">
        <is>
          <t>Oi! Conseguiu ver a prévia do site? Se quiser, ajusto cores, fotos ou textos para ficar com a cara de vocês. A prévia fica no ar por 7 dias.</t>
        </is>
      </c>
      <c r="R65" s="2" t="inlineStr">
        <is>
          <t>Novo</t>
        </is>
      </c>
      <c r="S65" s="5" t="n"/>
      <c r="T65" s="2" t="inlineStr"/>
      <c r="U65" s="4" t="inlineStr">
        <is>
          <t>Corporativo = ticket alto</t>
        </is>
      </c>
    </row>
    <row r="66" ht="96" customHeight="1">
      <c r="A66" s="2" t="n">
        <v>65</v>
      </c>
      <c r="B66" s="2" t="inlineStr">
        <is>
          <t>A</t>
        </is>
      </c>
      <c r="C66" s="2" t="n">
        <v>6</v>
      </c>
      <c r="D66" s="2" t="inlineStr">
        <is>
          <t>Negócio local</t>
        </is>
      </c>
      <c r="E66" s="2" t="inlineStr">
        <is>
          <t>Confeitaria</t>
        </is>
      </c>
      <c r="F66" s="2" t="inlineStr">
        <is>
          <t>confeitaria</t>
        </is>
      </c>
      <c r="G66" s="2" t="inlineStr">
        <is>
          <t>Gabi Duarte Confeitaria</t>
        </is>
      </c>
      <c r="H66" s="3" t="inlineStr">
        <is>
          <t>@gabiduarteconfeitaria</t>
        </is>
      </c>
      <c r="I66" s="2" t="inlineStr">
        <is>
          <t>São Paulo</t>
        </is>
      </c>
      <c r="J66" s="2" t="n"/>
      <c r="K66" s="2" t="inlineStr"/>
      <c r="L66" s="2" t="inlineStr">
        <is>
          <t>nao encontrado</t>
        </is>
      </c>
      <c r="M66" s="2" t="inlineStr"/>
      <c r="N66" s="2" t="inlineStr"/>
      <c r="O66" s="3" t="inlineStr">
        <is>
          <t>Abrir prévia</t>
        </is>
      </c>
      <c r="P66" s="4" t="inlineStr">
        <is>
          <t>Oi, pessoal da Gabi Duarte Confeitaria! Sou o [SEU NOME], da Downway. Curto muito o trabalho de vocês aqui no Instagram. Montei uma prévia de site para a Gabi Duarte Confeitaria só para vocês verem como fica: https://downway.com.br/demo/gabiduarteconfeitaria/
Quem procura "confeitaria São Paulo" no Google cai nos concorrentes. Com o site, cai em vocês e já chama no WhatsApp. Abre no celular e me diz o que achou?</t>
        </is>
      </c>
      <c r="Q66" s="4" t="inlineStr">
        <is>
          <t>Oi! Conseguiu ver a prévia do site? Se quiser, ajusto cores, fotos ou textos para ficar com a cara de vocês. A prévia fica no ar por 7 dias.</t>
        </is>
      </c>
      <c r="R66" s="2" t="inlineStr">
        <is>
          <t>Novo</t>
        </is>
      </c>
      <c r="S66" s="5" t="n"/>
      <c r="T66" s="2" t="inlineStr"/>
      <c r="U66" s="4" t="inlineStr"/>
    </row>
    <row r="67" ht="96" customHeight="1">
      <c r="A67" s="2" t="n">
        <v>66</v>
      </c>
      <c r="B67" s="2" t="inlineStr">
        <is>
          <t>A</t>
        </is>
      </c>
      <c r="C67" s="2" t="n">
        <v>6</v>
      </c>
      <c r="D67" s="2" t="inlineStr">
        <is>
          <t>Negócio local</t>
        </is>
      </c>
      <c r="E67" s="2" t="inlineStr">
        <is>
          <t>Cílios/sobrancelhas</t>
        </is>
      </c>
      <c r="F67" s="2" t="inlineStr">
        <is>
          <t>lash</t>
        </is>
      </c>
      <c r="G67" s="2" t="inlineStr">
        <is>
          <t>Carol Galvão Beauty</t>
        </is>
      </c>
      <c r="H67" s="3" t="inlineStr">
        <is>
          <t>@carolgalvaobeauty</t>
        </is>
      </c>
      <c r="I67" s="2" t="inlineStr">
        <is>
          <t>Vila Mariana</t>
        </is>
      </c>
      <c r="J67" s="2" t="n"/>
      <c r="K67" s="2" t="inlineStr"/>
      <c r="L67" s="2" t="inlineStr">
        <is>
          <t>nao encontrado</t>
        </is>
      </c>
      <c r="M67" s="2" t="inlineStr"/>
      <c r="N67" s="2" t="inlineStr"/>
      <c r="O67" s="3" t="inlineStr">
        <is>
          <t>Abrir prévia</t>
        </is>
      </c>
      <c r="P67" s="4" t="inlineStr">
        <is>
          <t>Oi, pessoal da Carol Galvão Beauty! Sou o [SEU NOME], da Downway. Curto muito o trabalho de vocês aqui no Instagram. Montei uma prévia de site para a Carol Galvão Beauty só para vocês verem como fica: https://downway.com.br/demo/carolgalvaobeauty/
Quem procura "cílios/sobrancelhas Vila Mariana" no Google cai nos concorrentes. Com o site, cai em vocês e já chama no WhatsApp. Abre no celular e me diz o que achou?</t>
        </is>
      </c>
      <c r="Q67" s="4" t="inlineStr">
        <is>
          <t>Oi! Conseguiu ver a prévia do site? Se quiser, ajusto cores, fotos ou textos para ficar com a cara de vocês. A prévia fica no ar por 7 dias.</t>
        </is>
      </c>
      <c r="R67" s="2" t="inlineStr">
        <is>
          <t>Novo</t>
        </is>
      </c>
      <c r="S67" s="5" t="n"/>
      <c r="T67" s="2" t="inlineStr"/>
      <c r="U67" s="4" t="inlineStr"/>
    </row>
    <row r="68" ht="96" customHeight="1">
      <c r="A68" s="2" t="n">
        <v>67</v>
      </c>
      <c r="B68" s="2" t="inlineStr">
        <is>
          <t>A</t>
        </is>
      </c>
      <c r="C68" s="2" t="n">
        <v>6</v>
      </c>
      <c r="D68" s="2" t="inlineStr">
        <is>
          <t>Negócio local</t>
        </is>
      </c>
      <c r="E68" s="2" t="inlineStr">
        <is>
          <t>Cílios/sobrancelhas</t>
        </is>
      </c>
      <c r="F68" s="2" t="inlineStr">
        <is>
          <t>lash</t>
        </is>
      </c>
      <c r="G68" s="2" t="inlineStr">
        <is>
          <t>Studio Layla Vieira</t>
        </is>
      </c>
      <c r="H68" s="3" t="inlineStr">
        <is>
          <t>@studiolayllavieira</t>
        </is>
      </c>
      <c r="I68" s="2" t="inlineStr">
        <is>
          <t>São Paulo</t>
        </is>
      </c>
      <c r="J68" s="2" t="n"/>
      <c r="K68" s="2" t="inlineStr"/>
      <c r="L68" s="2" t="inlineStr">
        <is>
          <t>nao encontrado</t>
        </is>
      </c>
      <c r="M68" s="2" t="inlineStr"/>
      <c r="N68" s="2" t="inlineStr"/>
      <c r="O68" s="3" t="inlineStr">
        <is>
          <t>Abrir prévia</t>
        </is>
      </c>
      <c r="P68" s="4" t="inlineStr">
        <is>
          <t>Oi, pessoal da Studio Layla Vieira! Sou o [SEU NOME], da Downway. Curto muito o trabalho de vocês aqui no Instagram. Montei uma prévia de site para a Studio Layla Vieira só para vocês verem como fica: https://downway.com.br/demo/studiolayllavieira/
Quem procura "cílios/sobrancelhas São Paulo" no Google cai nos concorrentes. Com o site, cai em vocês e já chama no WhatsApp. Abre no celular e me diz o que achou?</t>
        </is>
      </c>
      <c r="Q68" s="4" t="inlineStr">
        <is>
          <t>Oi! Conseguiu ver a prévia do site? Se quiser, ajusto cores, fotos ou textos para ficar com a cara de vocês. A prévia fica no ar por 7 dias.</t>
        </is>
      </c>
      <c r="R68" s="2" t="inlineStr">
        <is>
          <t>Novo</t>
        </is>
      </c>
      <c r="S68" s="5" t="n"/>
      <c r="T68" s="2" t="inlineStr"/>
      <c r="U68" s="4" t="inlineStr"/>
    </row>
    <row r="69" ht="96" customHeight="1">
      <c r="A69" s="2" t="n">
        <v>68</v>
      </c>
      <c r="B69" s="2" t="inlineStr">
        <is>
          <t>A</t>
        </is>
      </c>
      <c r="C69" s="2" t="n">
        <v>6</v>
      </c>
      <c r="D69" s="2" t="inlineStr">
        <is>
          <t>Negócio local</t>
        </is>
      </c>
      <c r="E69" s="2" t="inlineStr">
        <is>
          <t>Cílios/sobrancelhas</t>
        </is>
      </c>
      <c r="F69" s="2" t="inlineStr">
        <is>
          <t>lash</t>
        </is>
      </c>
      <c r="G69" s="2" t="inlineStr">
        <is>
          <t>W Lash Studio</t>
        </is>
      </c>
      <c r="H69" s="3" t="inlineStr">
        <is>
          <t>@wlashstudio</t>
        </is>
      </c>
      <c r="I69" s="2" t="inlineStr">
        <is>
          <t>Vila Mariana</t>
        </is>
      </c>
      <c r="J69" s="2" t="n"/>
      <c r="K69" s="2" t="inlineStr"/>
      <c r="L69" s="2" t="inlineStr">
        <is>
          <t>nao encontrado</t>
        </is>
      </c>
      <c r="M69" s="2" t="inlineStr"/>
      <c r="N69" s="2" t="inlineStr"/>
      <c r="O69" s="3" t="inlineStr">
        <is>
          <t>Abrir prévia</t>
        </is>
      </c>
      <c r="P69" s="4" t="inlineStr">
        <is>
          <t>Oi, pessoal da W Lash Studio! Sou o [SEU NOME], da Downway. Curto muito o trabalho de vocês aqui no Instagram. Montei uma prévia de site para a W Lash Studio só para vocês verem como fica: https://downway.com.br/demo/wlashstudio/
Quem procura "cílios/sobrancelhas Vila Mariana" no Google cai nos concorrentes. Com o site, cai em vocês e já chama no WhatsApp. Abre no celular e me diz o que achou?</t>
        </is>
      </c>
      <c r="Q69" s="4" t="inlineStr">
        <is>
          <t>Oi! Conseguiu ver a prévia do site? Se quiser, ajusto cores, fotos ou textos para ficar com a cara de vocês. A prévia fica no ar por 7 dias.</t>
        </is>
      </c>
      <c r="R69" s="2" t="inlineStr">
        <is>
          <t>Novo</t>
        </is>
      </c>
      <c r="S69" s="5" t="n"/>
      <c r="T69" s="2" t="inlineStr"/>
      <c r="U69" s="4" t="inlineStr"/>
    </row>
    <row r="70" ht="96" customHeight="1">
      <c r="A70" s="2" t="n">
        <v>69</v>
      </c>
      <c r="B70" s="2" t="inlineStr">
        <is>
          <t>A</t>
        </is>
      </c>
      <c r="C70" s="2" t="n">
        <v>6</v>
      </c>
      <c r="D70" s="2" t="inlineStr">
        <is>
          <t>Negócio local</t>
        </is>
      </c>
      <c r="E70" s="2" t="inlineStr">
        <is>
          <t>Marcenaria</t>
        </is>
      </c>
      <c r="F70" s="2" t="inlineStr">
        <is>
          <t>marcenaria</t>
        </is>
      </c>
      <c r="G70" s="2" t="inlineStr">
        <is>
          <t>Marcenaria Senna</t>
        </is>
      </c>
      <c r="H70" s="3" t="inlineStr">
        <is>
          <t>@marcenariasenna</t>
        </is>
      </c>
      <c r="I70" s="2" t="inlineStr">
        <is>
          <t>São Paulo</t>
        </is>
      </c>
      <c r="J70" s="2" t="n"/>
      <c r="K70" s="2" t="inlineStr"/>
      <c r="L70" s="2" t="inlineStr">
        <is>
          <t>nao encontrado</t>
        </is>
      </c>
      <c r="M70" s="2" t="inlineStr"/>
      <c r="N70" s="2" t="inlineStr"/>
      <c r="O70" s="3" t="inlineStr">
        <is>
          <t>Abrir prévia</t>
        </is>
      </c>
      <c r="P70" s="4" t="inlineStr">
        <is>
          <t>Oi, pessoal da Marcenaria Senna! Sou o [SEU NOME], da Downway. Curto muito o trabalho de vocês aqui no Instagram. Montei uma prévia de site para a Marcenaria Senna só para vocês verem como fica: https://downway.com.br/demo/marcenariasenna/
Quem procura "marcenaria São Paulo" no Google cai nos concorrentes. Com o site, cai em vocês e já chama no WhatsApp. Abre no celular e me diz o que achou?</t>
        </is>
      </c>
      <c r="Q70" s="4" t="inlineStr">
        <is>
          <t>Oi! Conseguiu ver a prévia do site? Se quiser, ajusto cores, fotos ou textos para ficar com a cara de vocês. A prévia fica no ar por 7 dias.</t>
        </is>
      </c>
      <c r="R70" s="2" t="inlineStr">
        <is>
          <t>Novo</t>
        </is>
      </c>
      <c r="S70" s="5" t="n"/>
      <c r="T70" s="2" t="inlineStr"/>
      <c r="U70" s="4" t="inlineStr"/>
    </row>
    <row r="71" ht="96" customHeight="1">
      <c r="A71" s="2" t="n">
        <v>70</v>
      </c>
      <c r="B71" s="2" t="inlineStr">
        <is>
          <t>A</t>
        </is>
      </c>
      <c r="C71" s="2" t="n">
        <v>6</v>
      </c>
      <c r="D71" s="2" t="inlineStr">
        <is>
          <t>Negócio local</t>
        </is>
      </c>
      <c r="E71" s="2" t="inlineStr">
        <is>
          <t>Marcenaria</t>
        </is>
      </c>
      <c r="F71" s="2" t="inlineStr">
        <is>
          <t>marcenaria</t>
        </is>
      </c>
      <c r="G71" s="2" t="inlineStr">
        <is>
          <t>P.R.T Marcenaria e Planejados</t>
        </is>
      </c>
      <c r="H71" s="3" t="inlineStr">
        <is>
          <t>@p.r.t_marcenariaeplanejados</t>
        </is>
      </c>
      <c r="I71" s="2" t="inlineStr">
        <is>
          <t>São Paulo</t>
        </is>
      </c>
      <c r="J71" s="2" t="n"/>
      <c r="K71" s="2" t="inlineStr"/>
      <c r="L71" s="2" t="inlineStr">
        <is>
          <t>nao encontrado</t>
        </is>
      </c>
      <c r="M71" s="2" t="inlineStr"/>
      <c r="N71" s="2" t="inlineStr"/>
      <c r="O71" s="3" t="inlineStr">
        <is>
          <t>Abrir prévia</t>
        </is>
      </c>
      <c r="P71" s="4" t="inlineStr">
        <is>
          <t>Oi, pessoal da P.R.T Marcenaria e Planejados! Sou o [SEU NOME], da Downway. Curto muito o trabalho de vocês aqui no Instagram. Montei uma prévia de site para a P.R.T Marcenaria e Planejados só para vocês verem como fica: https://downway.com.br/demo/p-r-t-marcenariaeplanejados/
Quem procura "marcenaria São Paulo" no Google cai nos concorrentes. Com o site, cai em vocês e já chama no WhatsApp. Abre no celular e me diz o que achou?</t>
        </is>
      </c>
      <c r="Q71" s="4" t="inlineStr">
        <is>
          <t>Oi! Conseguiu ver a prévia do site? Se quiser, ajusto cores, fotos ou textos para ficar com a cara de vocês. A prévia fica no ar por 7 dias.</t>
        </is>
      </c>
      <c r="R71" s="2" t="inlineStr">
        <is>
          <t>Novo</t>
        </is>
      </c>
      <c r="S71" s="5" t="n"/>
      <c r="T71" s="2" t="inlineStr"/>
      <c r="U71" s="4" t="inlineStr"/>
    </row>
    <row r="72" ht="96" customHeight="1">
      <c r="A72" s="2" t="n">
        <v>71</v>
      </c>
      <c r="B72" s="2" t="inlineStr">
        <is>
          <t>A</t>
        </is>
      </c>
      <c r="C72" s="2" t="n">
        <v>6</v>
      </c>
      <c r="D72" s="2" t="inlineStr">
        <is>
          <t>Negócio local</t>
        </is>
      </c>
      <c r="E72" s="2" t="inlineStr">
        <is>
          <t>Marcenaria</t>
        </is>
      </c>
      <c r="F72" s="2" t="inlineStr">
        <is>
          <t>marcenaria</t>
        </is>
      </c>
      <c r="G72" s="2" t="inlineStr">
        <is>
          <t>Positiva Marcenaria</t>
        </is>
      </c>
      <c r="H72" s="3" t="inlineStr">
        <is>
          <t>@positivamarcenaria</t>
        </is>
      </c>
      <c r="I72" s="2" t="inlineStr">
        <is>
          <t>São Paulo</t>
        </is>
      </c>
      <c r="J72" s="2" t="n"/>
      <c r="K72" s="2" t="inlineStr"/>
      <c r="L72" s="2" t="inlineStr">
        <is>
          <t>nao encontrado</t>
        </is>
      </c>
      <c r="M72" s="2" t="inlineStr"/>
      <c r="N72" s="2" t="inlineStr"/>
      <c r="O72" s="3" t="inlineStr">
        <is>
          <t>Abrir prévia</t>
        </is>
      </c>
      <c r="P72" s="4" t="inlineStr">
        <is>
          <t>Oi, pessoal da Positiva Marcenaria! Sou o [SEU NOME], da Downway. Curto muito o trabalho de vocês aqui no Instagram. Montei uma prévia de site para a Positiva Marcenaria só para vocês verem como fica: https://downway.com.br/demo/positivamarcenaria/
Quem procura "marcenaria São Paulo" no Google cai nos concorrentes. Com o site, cai em vocês e já chama no WhatsApp. Abre no celular e me diz o que achou?</t>
        </is>
      </c>
      <c r="Q72" s="4" t="inlineStr">
        <is>
          <t>Oi! Conseguiu ver a prévia do site? Se quiser, ajusto cores, fotos ou textos para ficar com a cara de vocês. A prévia fica no ar por 7 dias.</t>
        </is>
      </c>
      <c r="R72" s="2" t="inlineStr">
        <is>
          <t>Novo</t>
        </is>
      </c>
      <c r="S72" s="5" t="n"/>
      <c r="T72" s="2" t="inlineStr"/>
      <c r="U72" s="4" t="inlineStr"/>
    </row>
    <row r="73" ht="96" customHeight="1">
      <c r="A73" s="2" t="n">
        <v>72</v>
      </c>
      <c r="B73" s="2" t="inlineStr">
        <is>
          <t>A</t>
        </is>
      </c>
      <c r="C73" s="2" t="n">
        <v>6</v>
      </c>
      <c r="D73" s="2" t="inlineStr">
        <is>
          <t>Negócio local</t>
        </is>
      </c>
      <c r="E73" s="2" t="inlineStr">
        <is>
          <t>Pet shop</t>
        </is>
      </c>
      <c r="F73" s="2" t="inlineStr">
        <is>
          <t>pet</t>
        </is>
      </c>
      <c r="G73" s="2" t="inlineStr">
        <is>
          <t>Pet Shop Penha</t>
        </is>
      </c>
      <c r="H73" s="3" t="inlineStr">
        <is>
          <t>@petshoppenha</t>
        </is>
      </c>
      <c r="I73" s="2" t="inlineStr">
        <is>
          <t>Penha</t>
        </is>
      </c>
      <c r="J73" s="2" t="n"/>
      <c r="K73" s="2" t="inlineStr"/>
      <c r="L73" s="2" t="inlineStr">
        <is>
          <t>nao encontrado</t>
        </is>
      </c>
      <c r="M73" s="2" t="inlineStr"/>
      <c r="N73" s="2" t="inlineStr"/>
      <c r="O73" s="3" t="inlineStr">
        <is>
          <t>Abrir prévia</t>
        </is>
      </c>
      <c r="P73" s="4" t="inlineStr">
        <is>
          <t>Oi, pessoal da Pet Shop Penha! Sou o [SEU NOME], da Downway. Curto muito o trabalho de vocês aqui no Instagram. Montei uma prévia de site para a Pet Shop Penha só para vocês verem como fica: https://downway.com.br/demo/petshoppenha/
Quem procura "pet shop Penha" no Google cai nos concorrentes. Com o site, cai em vocês e já chama no WhatsApp. Abre no celular e me diz o que achou?</t>
        </is>
      </c>
      <c r="Q73" s="4" t="inlineStr">
        <is>
          <t>Oi! Conseguiu ver a prévia do site? Se quiser, ajusto cores, fotos ou textos para ficar com a cara de vocês. A prévia fica no ar por 7 dias.</t>
        </is>
      </c>
      <c r="R73" s="2" t="inlineStr">
        <is>
          <t>Novo</t>
        </is>
      </c>
      <c r="S73" s="5" t="n"/>
      <c r="T73" s="2" t="inlineStr"/>
      <c r="U73" s="4" t="inlineStr"/>
    </row>
    <row r="74" ht="96" customHeight="1">
      <c r="A74" s="2" t="n">
        <v>73</v>
      </c>
      <c r="B74" s="2" t="inlineStr">
        <is>
          <t>A</t>
        </is>
      </c>
      <c r="C74" s="2" t="n">
        <v>6</v>
      </c>
      <c r="D74" s="2" t="inlineStr">
        <is>
          <t>Negócio local</t>
        </is>
      </c>
      <c r="E74" s="2" t="inlineStr">
        <is>
          <t>Pilates/funcional</t>
        </is>
      </c>
      <c r="F74" s="2" t="inlineStr">
        <is>
          <t>pilates</t>
        </is>
      </c>
      <c r="G74" s="2" t="inlineStr">
        <is>
          <t>Core Fit</t>
        </is>
      </c>
      <c r="H74" s="3" t="inlineStr">
        <is>
          <t>@core_fit</t>
        </is>
      </c>
      <c r="I74" s="2" t="inlineStr">
        <is>
          <t>São Paulo</t>
        </is>
      </c>
      <c r="J74" s="2" t="n"/>
      <c r="K74" s="2" t="inlineStr"/>
      <c r="L74" s="2" t="inlineStr">
        <is>
          <t>nao encontrado</t>
        </is>
      </c>
      <c r="M74" s="2" t="inlineStr"/>
      <c r="N74" s="2" t="inlineStr"/>
      <c r="O74" s="3" t="inlineStr">
        <is>
          <t>Abrir prévia</t>
        </is>
      </c>
      <c r="P74" s="4" t="inlineStr">
        <is>
          <t>Oi, pessoal da Core Fit! Sou o [SEU NOME], da Downway. Curto muito o trabalho de vocês aqui no Instagram. Montei uma prévia de site para a Core Fit só para vocês verem como fica: https://downway.com.br/demo/core-fit/
Quem procura "pilates/funcional São Paulo" no Google cai nos concorrentes. Com o site, cai em vocês e já chama no WhatsApp. Abre no celular e me diz o que achou?</t>
        </is>
      </c>
      <c r="Q74" s="4" t="inlineStr">
        <is>
          <t>Oi! Conseguiu ver a prévia do site? Se quiser, ajusto cores, fotos ou textos para ficar com a cara de vocês. A prévia fica no ar por 7 dias.</t>
        </is>
      </c>
      <c r="R74" s="2" t="inlineStr">
        <is>
          <t>Novo</t>
        </is>
      </c>
      <c r="S74" s="5" t="n"/>
      <c r="T74" s="2" t="inlineStr"/>
      <c r="U74" s="4" t="inlineStr"/>
    </row>
    <row r="75" ht="96" customHeight="1">
      <c r="A75" s="2" t="n">
        <v>74</v>
      </c>
      <c r="B75" s="2" t="inlineStr">
        <is>
          <t>A</t>
        </is>
      </c>
      <c r="C75" s="2" t="n">
        <v>6</v>
      </c>
      <c r="D75" s="2" t="inlineStr">
        <is>
          <t>Negócio local</t>
        </is>
      </c>
      <c r="E75" s="2" t="inlineStr">
        <is>
          <t>Pilates/funcional</t>
        </is>
      </c>
      <c r="F75" s="2" t="inlineStr">
        <is>
          <t>pilates</t>
        </is>
      </c>
      <c r="G75" s="2" t="inlineStr">
        <is>
          <t>Noah Pilates</t>
        </is>
      </c>
      <c r="H75" s="3" t="inlineStr">
        <is>
          <t>@noahpilates</t>
        </is>
      </c>
      <c r="I75" s="2" t="inlineStr">
        <is>
          <t>Saúde - Zona Sul</t>
        </is>
      </c>
      <c r="J75" s="2" t="n"/>
      <c r="K75" s="2" t="inlineStr"/>
      <c r="L75" s="2" t="inlineStr">
        <is>
          <t>nao encontrado</t>
        </is>
      </c>
      <c r="M75" s="2" t="inlineStr"/>
      <c r="N75" s="2" t="inlineStr"/>
      <c r="O75" s="3" t="inlineStr">
        <is>
          <t>Abrir prévia</t>
        </is>
      </c>
      <c r="P75" s="4" t="inlineStr">
        <is>
          <t>Oi, pessoal da Noah Pilates! Sou o [SEU NOME], da Downway. Curto muito o trabalho de vocês aqui no Instagram. Montei uma prévia de site para a Noah Pilates só para vocês verem como fica: https://downway.com.br/demo/noahpilates/
Quem procura "pilates/funcional Saúde - Zona Sul" no Google cai nos concorrentes. Com o site, cai em vocês e já chama no WhatsApp. Abre no celular e me diz o que achou?</t>
        </is>
      </c>
      <c r="Q75" s="4" t="inlineStr">
        <is>
          <t>Oi! Conseguiu ver a prévia do site? Se quiser, ajusto cores, fotos ou textos para ficar com a cara de vocês. A prévia fica no ar por 7 dias.</t>
        </is>
      </c>
      <c r="R75" s="2" t="inlineStr">
        <is>
          <t>Novo</t>
        </is>
      </c>
      <c r="S75" s="5" t="n"/>
      <c r="T75" s="2" t="inlineStr"/>
      <c r="U75" s="4" t="inlineStr"/>
    </row>
    <row r="76" ht="96" customHeight="1">
      <c r="A76" s="2" t="n">
        <v>75</v>
      </c>
      <c r="B76" s="2" t="inlineStr">
        <is>
          <t>A</t>
        </is>
      </c>
      <c r="C76" s="2" t="n">
        <v>6</v>
      </c>
      <c r="D76" s="2" t="inlineStr">
        <is>
          <t>Negócio local</t>
        </is>
      </c>
      <c r="E76" s="2" t="inlineStr">
        <is>
          <t>Salão de beleza</t>
        </is>
      </c>
      <c r="F76" s="2" t="inlineStr">
        <is>
          <t>salao</t>
        </is>
      </c>
      <c r="G76" s="2" t="inlineStr">
        <is>
          <t>Invent Studio de Beleza</t>
        </is>
      </c>
      <c r="H76" s="3" t="inlineStr">
        <is>
          <t>@inventstudiodebeleza</t>
        </is>
      </c>
      <c r="I76" s="2" t="inlineStr">
        <is>
          <t>Santana</t>
        </is>
      </c>
      <c r="J76" s="2" t="n"/>
      <c r="K76" s="2" t="inlineStr"/>
      <c r="L76" s="2" t="inlineStr">
        <is>
          <t>nao encontrado</t>
        </is>
      </c>
      <c r="M76" s="2" t="inlineStr"/>
      <c r="N76" s="2" t="inlineStr"/>
      <c r="O76" s="3" t="inlineStr">
        <is>
          <t>Abrir prévia</t>
        </is>
      </c>
      <c r="P76" s="4" t="inlineStr">
        <is>
          <t>Oi, pessoal da Invent Studio de Beleza! Sou o [SEU NOME], da Downway. Curto muito o trabalho de vocês aqui no Instagram. Montei uma prévia de site para a Invent Studio de Beleza só para vocês verem como fica: https://downway.com.br/demo/inventstudiodebeleza/
Quem procura "salão de beleza Santana" no Google cai nos concorrentes. Com o site, cai em vocês e já chama no WhatsApp. Abre no celular e me diz o que achou?</t>
        </is>
      </c>
      <c r="Q76" s="4" t="inlineStr">
        <is>
          <t>Oi! Conseguiu ver a prévia do site? Se quiser, ajusto cores, fotos ou textos para ficar com a cara de vocês. A prévia fica no ar por 7 dias.</t>
        </is>
      </c>
      <c r="R76" s="2" t="inlineStr">
        <is>
          <t>Novo</t>
        </is>
      </c>
      <c r="S76" s="5" t="n"/>
      <c r="T76" s="2" t="inlineStr"/>
      <c r="U76" s="4" t="inlineStr"/>
    </row>
    <row r="77" ht="96" customHeight="1">
      <c r="A77" s="2" t="n">
        <v>76</v>
      </c>
      <c r="B77" s="2" t="inlineStr">
        <is>
          <t>A</t>
        </is>
      </c>
      <c r="C77" s="2" t="n">
        <v>6</v>
      </c>
      <c r="D77" s="2" t="inlineStr">
        <is>
          <t>Negócio local</t>
        </is>
      </c>
      <c r="E77" s="2" t="inlineStr">
        <is>
          <t>Unhas</t>
        </is>
      </c>
      <c r="F77" s="2" t="inlineStr">
        <is>
          <t>unhas</t>
        </is>
      </c>
      <c r="G77" s="2" t="inlineStr">
        <is>
          <t>Andressa Moreira Nails</t>
        </is>
      </c>
      <c r="H77" s="3" t="inlineStr">
        <is>
          <t>@andressa_nails_</t>
        </is>
      </c>
      <c r="I77" s="2" t="inlineStr">
        <is>
          <t>Vila Curuçá / São Miguel</t>
        </is>
      </c>
      <c r="J77" s="2" t="n"/>
      <c r="K77" s="2" t="inlineStr"/>
      <c r="L77" s="2" t="inlineStr">
        <is>
          <t>nao encontrado</t>
        </is>
      </c>
      <c r="M77" s="2" t="inlineStr"/>
      <c r="N77" s="2" t="inlineStr"/>
      <c r="O77" s="3" t="inlineStr">
        <is>
          <t>Abrir prévia</t>
        </is>
      </c>
      <c r="P77" s="4" t="inlineStr">
        <is>
          <t>Oi, pessoal da Andressa Moreira Nails! Sou o [SEU NOME], da Downway. Curto muito o trabalho de vocês aqui no Instagram. Montei uma prévia de site para a Andressa Moreira Nails só para vocês verem como fica: https://downway.com.br/demo/andressa-nails/
Quem procura "unhas Vila Curuçá / São Miguel" no Google cai nos concorrentes. Com o site, cai em vocês e já chama no WhatsApp. Abre no celular e me diz o que achou?</t>
        </is>
      </c>
      <c r="Q77" s="4" t="inlineStr">
        <is>
          <t>Oi! Conseguiu ver a prévia do site? Se quiser, ajusto cores, fotos ou textos para ficar com a cara de vocês. A prévia fica no ar por 7 dias.</t>
        </is>
      </c>
      <c r="R77" s="2" t="inlineStr">
        <is>
          <t>Novo</t>
        </is>
      </c>
      <c r="S77" s="5" t="n"/>
      <c r="T77" s="2" t="inlineStr"/>
      <c r="U77" s="4" t="inlineStr"/>
    </row>
    <row r="78" ht="96" customHeight="1">
      <c r="A78" s="2" t="n">
        <v>77</v>
      </c>
      <c r="B78" s="2" t="inlineStr">
        <is>
          <t>A</t>
        </is>
      </c>
      <c r="C78" s="2" t="n">
        <v>6</v>
      </c>
      <c r="D78" s="2" t="inlineStr">
        <is>
          <t>Negócio local</t>
        </is>
      </c>
      <c r="E78" s="2" t="inlineStr">
        <is>
          <t>Unhas</t>
        </is>
      </c>
      <c r="F78" s="2" t="inlineStr">
        <is>
          <t>unhas</t>
        </is>
      </c>
      <c r="G78" s="2" t="inlineStr">
        <is>
          <t>Espaço Stereis</t>
        </is>
      </c>
      <c r="H78" s="3" t="inlineStr">
        <is>
          <t>@espacostereis</t>
        </is>
      </c>
      <c r="I78" s="2" t="inlineStr">
        <is>
          <t>Vila Nova Curuçá</t>
        </is>
      </c>
      <c r="J78" s="2" t="n"/>
      <c r="K78" s="2" t="inlineStr"/>
      <c r="L78" s="2" t="inlineStr">
        <is>
          <t>nao encontrado</t>
        </is>
      </c>
      <c r="M78" s="2" t="inlineStr"/>
      <c r="N78" s="2" t="inlineStr"/>
      <c r="O78" s="3" t="inlineStr">
        <is>
          <t>Abrir prévia</t>
        </is>
      </c>
      <c r="P78" s="4" t="inlineStr">
        <is>
          <t>Oi, pessoal da Espaço Stereis! Sou o [SEU NOME], da Downway. Curto muito o trabalho de vocês aqui no Instagram. Montei uma prévia de site para a Espaço Stereis só para vocês verem como fica: https://downway.com.br/demo/espacostereis/
Quem procura "unhas Vila Nova Curuçá" no Google cai nos concorrentes. Com o site, cai em vocês e já chama no WhatsApp. Abre no celular e me diz o que achou?</t>
        </is>
      </c>
      <c r="Q78" s="4" t="inlineStr">
        <is>
          <t>Oi! Conseguiu ver a prévia do site? Se quiser, ajusto cores, fotos ou textos para ficar com a cara de vocês. A prévia fica no ar por 7 dias.</t>
        </is>
      </c>
      <c r="R78" s="2" t="inlineStr">
        <is>
          <t>Novo</t>
        </is>
      </c>
      <c r="S78" s="5" t="n"/>
      <c r="T78" s="2" t="inlineStr"/>
      <c r="U78" s="4" t="inlineStr"/>
    </row>
    <row r="79" ht="96" customHeight="1">
      <c r="A79" s="2" t="n">
        <v>78</v>
      </c>
      <c r="B79" s="2" t="inlineStr">
        <is>
          <t>A</t>
        </is>
      </c>
      <c r="C79" s="2" t="n">
        <v>6</v>
      </c>
      <c r="D79" s="2" t="inlineStr">
        <is>
          <t>Negócio local</t>
        </is>
      </c>
      <c r="E79" s="2" t="inlineStr">
        <is>
          <t>Unhas</t>
        </is>
      </c>
      <c r="F79" s="2" t="inlineStr">
        <is>
          <t>unhas</t>
        </is>
      </c>
      <c r="G79" s="2" t="inlineStr">
        <is>
          <t>Juliane Watari Nail Designer</t>
        </is>
      </c>
      <c r="H79" s="3" t="inlineStr">
        <is>
          <t>@watarinails</t>
        </is>
      </c>
      <c r="I79" s="2" t="inlineStr">
        <is>
          <t>Vila Formosa</t>
        </is>
      </c>
      <c r="J79" s="2" t="n"/>
      <c r="K79" s="2" t="inlineStr"/>
      <c r="L79" s="2" t="inlineStr">
        <is>
          <t>nao encontrado</t>
        </is>
      </c>
      <c r="M79" s="2" t="inlineStr"/>
      <c r="N79" s="2" t="inlineStr"/>
      <c r="O79" s="3" t="inlineStr">
        <is>
          <t>Abrir prévia</t>
        </is>
      </c>
      <c r="P79" s="4" t="inlineStr">
        <is>
          <t>Oi, pessoal da Juliane Watari Nail Designer! Sou o [SEU NOME], da Downway. Curto muito o trabalho de vocês aqui no Instagram. Montei uma prévia de site para a Juliane Watari Nail Designer só para vocês verem como fica: https://downway.com.br/demo/watarinails/
Quem procura "unhas Vila Formosa" no Google cai nos concorrentes. Com o site, cai em vocês e já chama no WhatsApp. Abre no celular e me diz o que achou?</t>
        </is>
      </c>
      <c r="Q79" s="4" t="inlineStr">
        <is>
          <t>Oi! Conseguiu ver a prévia do site? Se quiser, ajusto cores, fotos ou textos para ficar com a cara de vocês. A prévia fica no ar por 7 dias.</t>
        </is>
      </c>
      <c r="R79" s="2" t="inlineStr">
        <is>
          <t>Novo</t>
        </is>
      </c>
      <c r="S79" s="5" t="n"/>
      <c r="T79" s="2" t="inlineStr"/>
      <c r="U79" s="4" t="inlineStr"/>
    </row>
    <row r="80" ht="96" customHeight="1">
      <c r="A80" s="2" t="n">
        <v>79</v>
      </c>
      <c r="B80" s="2" t="inlineStr">
        <is>
          <t>A</t>
        </is>
      </c>
      <c r="C80" s="2" t="n">
        <v>5</v>
      </c>
      <c r="D80" s="2" t="inlineStr">
        <is>
          <t>Negócio local</t>
        </is>
      </c>
      <c r="E80" s="2" t="inlineStr">
        <is>
          <t>Pet shop</t>
        </is>
      </c>
      <c r="F80" s="2" t="inlineStr">
        <is>
          <t>pet</t>
        </is>
      </c>
      <c r="G80" s="2" t="inlineStr">
        <is>
          <t>Petshop Bicho.com</t>
        </is>
      </c>
      <c r="H80" s="3" t="inlineStr">
        <is>
          <t>@bicho.com_zonasul</t>
        </is>
      </c>
      <c r="I80" s="2" t="inlineStr">
        <is>
          <t>Zona Sul</t>
        </is>
      </c>
      <c r="J80" s="2" t="n">
        <v>717</v>
      </c>
      <c r="K80" s="2" t="inlineStr"/>
      <c r="L80" s="2" t="inlineStr">
        <is>
          <t>nao encontrado</t>
        </is>
      </c>
      <c r="M80" s="2" t="inlineStr"/>
      <c r="N80" s="2" t="inlineStr"/>
      <c r="O80" s="3" t="inlineStr">
        <is>
          <t>Abrir prévia</t>
        </is>
      </c>
      <c r="P80" s="4" t="inlineStr">
        <is>
          <t>Oi, pessoal da Petshop Bicho.com! Sou o [SEU NOME], da Downway. Curto muito o trabalho de vocês aqui no Instagram. Montei uma prévia de site para a Petshop Bicho.com só para vocês verem como fica: https://downway.com.br/demo/bicho-com-zonasul/
Quem procura "pet shop Zona Sul" no Google cai nos concorrentes. Com o site, cai em vocês e já chama no WhatsApp. Abre no celular e me diz o que achou?</t>
        </is>
      </c>
      <c r="Q80" s="4" t="inlineStr">
        <is>
          <t>Oi! Conseguiu ver a prévia do site? Se quiser, ajusto cores, fotos ou textos para ficar com a cara de vocês. A prévia fica no ar por 7 dias.</t>
        </is>
      </c>
      <c r="R80" s="2" t="inlineStr">
        <is>
          <t>Novo</t>
        </is>
      </c>
      <c r="S80" s="5" t="n"/>
      <c r="T80" s="2" t="inlineStr"/>
      <c r="U80" s="4" t="inlineStr"/>
    </row>
    <row r="81" ht="96" customHeight="1">
      <c r="A81" s="2" t="n">
        <v>80</v>
      </c>
      <c r="B81" s="2" t="inlineStr">
        <is>
          <t>A</t>
        </is>
      </c>
      <c r="C81" s="2" t="n">
        <v>5</v>
      </c>
      <c r="D81" s="2" t="inlineStr">
        <is>
          <t>Negócio local</t>
        </is>
      </c>
      <c r="E81" s="2" t="inlineStr">
        <is>
          <t>Salão de beleza</t>
        </is>
      </c>
      <c r="F81" s="2" t="inlineStr">
        <is>
          <t>salao</t>
        </is>
      </c>
      <c r="G81" s="2" t="inlineStr">
        <is>
          <t>MG Espaço de Beleza</t>
        </is>
      </c>
      <c r="H81" s="3" t="inlineStr">
        <is>
          <t>@mgmespacodebeleza</t>
        </is>
      </c>
      <c r="I81" s="2" t="inlineStr">
        <is>
          <t>Santana</t>
        </is>
      </c>
      <c r="J81" s="2" t="n">
        <v>873</v>
      </c>
      <c r="K81" s="2" t="inlineStr"/>
      <c r="L81" s="2" t="inlineStr">
        <is>
          <t>nao encontrado</t>
        </is>
      </c>
      <c r="M81" s="2" t="inlineStr"/>
      <c r="N81" s="2" t="inlineStr"/>
      <c r="O81" s="3" t="inlineStr">
        <is>
          <t>Abrir prévia</t>
        </is>
      </c>
      <c r="P81" s="4" t="inlineStr">
        <is>
          <t>Oi, pessoal da MG Espaço de Beleza! Sou o [SEU NOME], da Downway. Curto muito o trabalho de vocês aqui no Instagram. Montei uma prévia de site para a MG Espaço de Beleza só para vocês verem como fica: https://downway.com.br/demo/mgmespacodebeleza/
Quem procura "salão de beleza Santana" no Google cai nos concorrentes. Com o site, cai em vocês e já chama no WhatsApp. Abre no celular e me diz o que achou?</t>
        </is>
      </c>
      <c r="Q81" s="4" t="inlineStr">
        <is>
          <t>Oi! Conseguiu ver a prévia do site? Se quiser, ajusto cores, fotos ou textos para ficar com a cara de vocês. A prévia fica no ar por 7 dias.</t>
        </is>
      </c>
      <c r="R81" s="2" t="inlineStr">
        <is>
          <t>Novo</t>
        </is>
      </c>
      <c r="S81" s="5" t="n"/>
      <c r="T81" s="2" t="inlineStr"/>
      <c r="U81" s="4" t="inlineStr"/>
    </row>
    <row r="82" ht="96" customHeight="1">
      <c r="A82" s="2" t="n">
        <v>81</v>
      </c>
      <c r="B82" s="2" t="inlineStr">
        <is>
          <t>B</t>
        </is>
      </c>
      <c r="C82" s="2" t="n">
        <v>5</v>
      </c>
      <c r="D82" s="2" t="inlineStr">
        <is>
          <t>Profissional</t>
        </is>
      </c>
      <c r="E82" s="2" t="inlineStr">
        <is>
          <t>Advogado</t>
        </is>
      </c>
      <c r="F82" s="2" t="inlineStr">
        <is>
          <t>trabalhista</t>
        </is>
      </c>
      <c r="G82" s="2" t="inlineStr">
        <is>
          <t>Advocacia Trabalhista Borges</t>
        </is>
      </c>
      <c r="H82" s="3" t="inlineStr">
        <is>
          <t>@borgesadvocacia</t>
        </is>
      </c>
      <c r="I82" s="2" t="inlineStr">
        <is>
          <t>São Paulo</t>
        </is>
      </c>
      <c r="J82" s="2" t="n">
        <v>20000</v>
      </c>
      <c r="K82" s="2" t="inlineStr"/>
      <c r="L82" s="2" t="inlineStr">
        <is>
          <t>verificar</t>
        </is>
      </c>
      <c r="M82" s="2" t="inlineStr"/>
      <c r="N82" s="2" t="inlineStr"/>
      <c r="O82" s="3" t="inlineStr">
        <is>
          <t>Abrir prévia</t>
        </is>
      </c>
      <c r="P82" s="4" t="inlineStr">
        <is>
          <t>Oi, pessoal da Advocacia Trabalhista Borges! Sou o [SEU NOME], da Downway. Acompanho o conteúdo de vocês de direito trabalhista aqui no Instagram e montei uma prévia de site para a Advocacia Trabalhista Borges, já seguindo as regras de publicidade da OAB (Provimento 205/2021): https://downway.com.br/demo/borgesadvocacia/
Hoje, quem pesquisa "advogado trabalhista em São Paulo" no Google encontra outros profissionais. Com o site, essa pessoa chega até vocês e já fala no WhatsApp. Posso mostrar como fica no ar?</t>
        </is>
      </c>
      <c r="Q82" s="4" t="inlineStr">
        <is>
          <t>Oi! Conseguiu ver a prévia do site? Se quiser, ajusto cores, fotos ou textos para ficar com a cara do seu trabalho. A prévia fica no ar por 7 dias.</t>
        </is>
      </c>
      <c r="R82" s="2" t="inlineStr">
        <is>
          <t>Novo</t>
        </is>
      </c>
      <c r="S82" s="5" t="n"/>
      <c r="T82" s="2" t="inlineStr"/>
      <c r="U82" s="4" t="inlineStr">
        <is>
          <t>Escritório antigo, pode ter site</t>
        </is>
      </c>
    </row>
    <row r="83" ht="96" customHeight="1">
      <c r="A83" s="2" t="n">
        <v>82</v>
      </c>
      <c r="B83" s="2" t="inlineStr">
        <is>
          <t>B</t>
        </is>
      </c>
      <c r="C83" s="2" t="n">
        <v>5</v>
      </c>
      <c r="D83" s="2" t="inlineStr">
        <is>
          <t>Profissional</t>
        </is>
      </c>
      <c r="E83" s="2" t="inlineStr">
        <is>
          <t>Médico</t>
        </is>
      </c>
      <c r="F83" s="2" t="inlineStr">
        <is>
          <t>dermatologia</t>
        </is>
      </c>
      <c r="G83" s="2" t="inlineStr">
        <is>
          <t>Dra. Maria Bussade</t>
        </is>
      </c>
      <c r="H83" s="3" t="inlineStr">
        <is>
          <t>@mariabussade</t>
        </is>
      </c>
      <c r="I83" s="2" t="inlineStr">
        <is>
          <t>São Paulo</t>
        </is>
      </c>
      <c r="J83" s="2" t="n"/>
      <c r="K83" s="2" t="inlineStr">
        <is>
          <t>CRM-SP 118.804 · RQE 39.393</t>
        </is>
      </c>
      <c r="L83" s="2" t="inlineStr">
        <is>
          <t>verificar</t>
        </is>
      </c>
      <c r="M83" s="2" t="inlineStr"/>
      <c r="N83" s="2" t="inlineStr"/>
      <c r="O83" s="3" t="inlineStr">
        <is>
          <t>Abrir prévia</t>
        </is>
      </c>
      <c r="P83" s="4" t="inlineStr">
        <is>
          <t>Oi, Dra. Maria! Sou o [SEU NOME], da Downway. Acompanho seu conteúdo de dermatologia aqui no Instagram e montei uma prévia de site para você, já seguindo a resolução de publicidade médica do CFM (2.336/2023): https://downway.com.br/demo/mariabussade/
Hoje, quem pesquisa "dermatologista em São Paulo" no Google encontra outros profissionais. Com o site, essa pessoa chega até você e já fala no WhatsApp. Posso mostrar como fica no ar?</t>
        </is>
      </c>
      <c r="Q83" s="4" t="inlineStr">
        <is>
          <t>Oi! Conseguiu ver a prévia do site? Se quiser, ajusto cores, fotos ou textos para ficar com a cara do seu trabalho. A prévia fica no ar por 7 dias.</t>
        </is>
      </c>
      <c r="R83" s="2" t="inlineStr">
        <is>
          <t>Novo</t>
        </is>
      </c>
      <c r="S83" s="5" t="n"/>
      <c r="T83" s="2" t="inlineStr"/>
      <c r="U83" s="4" t="inlineStr"/>
    </row>
    <row r="84" ht="96" customHeight="1">
      <c r="A84" s="2" t="n">
        <v>83</v>
      </c>
      <c r="B84" s="2" t="inlineStr">
        <is>
          <t>B</t>
        </is>
      </c>
      <c r="C84" s="2" t="n">
        <v>4</v>
      </c>
      <c r="D84" s="2" t="inlineStr">
        <is>
          <t>Profissional</t>
        </is>
      </c>
      <c r="E84" s="2" t="inlineStr">
        <is>
          <t>Advogado</t>
        </is>
      </c>
      <c r="F84" s="2" t="inlineStr">
        <is>
          <t>previdenciário</t>
        </is>
      </c>
      <c r="G84" s="2" t="inlineStr">
        <is>
          <t>Dantas Advocacia</t>
        </is>
      </c>
      <c r="H84" s="3" t="inlineStr">
        <is>
          <t>@dantas.advocacia</t>
        </is>
      </c>
      <c r="I84" s="2" t="inlineStr">
        <is>
          <t>São Paulo</t>
        </is>
      </c>
      <c r="J84" s="2" t="n"/>
      <c r="K84" s="2" t="inlineStr"/>
      <c r="L84" s="2" t="inlineStr">
        <is>
          <t>verificar</t>
        </is>
      </c>
      <c r="M84" s="2" t="inlineStr"/>
      <c r="N84" s="2" t="inlineStr"/>
      <c r="O84" s="3" t="inlineStr">
        <is>
          <t>Abrir prévia</t>
        </is>
      </c>
      <c r="P84" s="4" t="inlineStr">
        <is>
          <t>Oi, pessoal da Dantas Advocacia! Sou o [SEU NOME], da Downway. Acompanho o conteúdo de vocês de direito previdenciário aqui no Instagram e montei uma prévia de site para a Dantas Advocacia, já seguindo as regras de publicidade da OAB (Provimento 205/2021): https://downway.com.br/demo/dantas-advocacia/
Hoje, quem pesquisa "advogado previdenciário em São Paulo" no Google encontra outros profissionais. Com o site, essa pessoa chega até vocês e já fala no WhatsApp. Posso mostrar como fica no ar?</t>
        </is>
      </c>
      <c r="Q84" s="4" t="inlineStr">
        <is>
          <t>Oi! Conseguiu ver a prévia do site? Se quiser, ajusto cores, fotos ou textos para ficar com a cara do seu trabalho. A prévia fica no ar por 7 dias.</t>
        </is>
      </c>
      <c r="R84" s="2" t="inlineStr">
        <is>
          <t>Novo</t>
        </is>
      </c>
      <c r="S84" s="5" t="n"/>
      <c r="T84" s="2" t="inlineStr"/>
      <c r="U84" s="4" t="inlineStr">
        <is>
          <t>Escritório antigo, pode ter site</t>
        </is>
      </c>
    </row>
    <row r="85" ht="96" customHeight="1">
      <c r="A85" s="2" t="n">
        <v>84</v>
      </c>
      <c r="B85" s="2" t="inlineStr">
        <is>
          <t>B</t>
        </is>
      </c>
      <c r="C85" s="2" t="n">
        <v>4</v>
      </c>
      <c r="D85" s="2" t="inlineStr">
        <is>
          <t>Profissional</t>
        </is>
      </c>
      <c r="E85" s="2" t="inlineStr">
        <is>
          <t>Dentista</t>
        </is>
      </c>
      <c r="F85" s="2" t="inlineStr">
        <is>
          <t>odontologia</t>
        </is>
      </c>
      <c r="G85" s="2" t="inlineStr">
        <is>
          <t>Pandola Odontologia</t>
        </is>
      </c>
      <c r="H85" s="3" t="inlineStr">
        <is>
          <t>@pandolaodontologia</t>
        </is>
      </c>
      <c r="I85" s="2" t="inlineStr">
        <is>
          <t>São Paulo</t>
        </is>
      </c>
      <c r="J85" s="2" t="n"/>
      <c r="K85" s="2" t="inlineStr"/>
      <c r="L85" s="2" t="inlineStr">
        <is>
          <t>verificar</t>
        </is>
      </c>
      <c r="M85" s="2" t="inlineStr"/>
      <c r="N85" s="2" t="inlineStr"/>
      <c r="O85" s="3" t="inlineStr">
        <is>
          <t>Abrir prévia</t>
        </is>
      </c>
      <c r="P85" s="4" t="inlineStr">
        <is>
          <t>Oi, pessoal da Pandola Odontologia! Sou o [SEU NOME], da Downway. Acompanho o conteúdo de vocês de odontologia aqui no Instagram e montei uma prévia de site para a Pandola Odontologia, já com CRO e responsável técnico em destaque: https://downway.com.br/demo/pandolaodontologia/
Hoje, quem pesquisa "dentista no São Paulo" no Google encontra outros profissionais. Com o site, essa pessoa chega até vocês e já fala no WhatsApp. Posso mostrar como fica no ar?</t>
        </is>
      </c>
      <c r="Q85" s="4" t="inlineStr">
        <is>
          <t>Oi! Conseguiu ver a prévia do site? Se quiser, ajusto cores, fotos ou textos para ficar com a cara do seu trabalho. A prévia fica no ar por 7 dias.</t>
        </is>
      </c>
      <c r="R85" s="2" t="inlineStr">
        <is>
          <t>Novo</t>
        </is>
      </c>
      <c r="S85" s="5" t="n"/>
      <c r="T85" s="2" t="inlineStr"/>
      <c r="U85" s="4" t="inlineStr"/>
    </row>
    <row r="86" ht="96" customHeight="1">
      <c r="A86" s="2" t="n">
        <v>85</v>
      </c>
      <c r="B86" s="2" t="inlineStr">
        <is>
          <t>B</t>
        </is>
      </c>
      <c r="C86" s="2" t="n">
        <v>4</v>
      </c>
      <c r="D86" s="2" t="inlineStr">
        <is>
          <t>Profissional</t>
        </is>
      </c>
      <c r="E86" s="2" t="inlineStr">
        <is>
          <t>Médico</t>
        </is>
      </c>
      <c r="F86" s="2" t="inlineStr">
        <is>
          <t>dermatologia</t>
        </is>
      </c>
      <c r="G86" s="2" t="inlineStr">
        <is>
          <t>Clínica Derma A</t>
        </is>
      </c>
      <c r="H86" s="3" t="inlineStr">
        <is>
          <t>@dermaaclinica</t>
        </is>
      </c>
      <c r="I86" s="2" t="inlineStr">
        <is>
          <t>São Paulo</t>
        </is>
      </c>
      <c r="J86" s="2" t="n"/>
      <c r="K86" s="2" t="inlineStr"/>
      <c r="L86" s="2" t="inlineStr">
        <is>
          <t>verificar</t>
        </is>
      </c>
      <c r="M86" s="2" t="inlineStr"/>
      <c r="N86" s="2" t="inlineStr"/>
      <c r="O86" s="3" t="inlineStr">
        <is>
          <t>Abrir prévia</t>
        </is>
      </c>
      <c r="P86" s="4" t="inlineStr">
        <is>
          <t>Oi, pessoal da Clínica Derma A! Sou o [SEU NOME], da Downway. Acompanho o conteúdo de vocês de dermatologia aqui no Instagram e montei uma prévia de site para a Clínica Derma A, já seguindo a resolução de publicidade médica do CFM (2.336/2023): https://downway.com.br/demo/dermaaclinica/
Hoje, quem pesquisa "dermatologista em São Paulo" no Google encontra outros profissionais. Com o site, essa pessoa chega até vocês e já fala no WhatsApp. Posso mostrar como fica no ar?</t>
        </is>
      </c>
      <c r="Q86" s="4" t="inlineStr">
        <is>
          <t>Oi! Conseguiu ver a prévia do site? Se quiser, ajusto cores, fotos ou textos para ficar com a cara do seu trabalho. A prévia fica no ar por 7 dias.</t>
        </is>
      </c>
      <c r="R86" s="2" t="inlineStr">
        <is>
          <t>Novo</t>
        </is>
      </c>
      <c r="S86" s="5" t="n"/>
      <c r="T86" s="2" t="inlineStr"/>
      <c r="U86" s="4" t="inlineStr">
        <is>
          <t>Confirmar responsável técnico</t>
        </is>
      </c>
    </row>
    <row r="87" ht="96" customHeight="1">
      <c r="A87" s="2" t="n">
        <v>86</v>
      </c>
      <c r="B87" s="2" t="inlineStr">
        <is>
          <t>B</t>
        </is>
      </c>
      <c r="C87" s="2" t="n">
        <v>4</v>
      </c>
      <c r="D87" s="2" t="inlineStr">
        <is>
          <t>Profissional</t>
        </is>
      </c>
      <c r="E87" s="2" t="inlineStr">
        <is>
          <t>Médico</t>
        </is>
      </c>
      <c r="F87" s="2" t="inlineStr">
        <is>
          <t>dermatologia</t>
        </is>
      </c>
      <c r="G87" s="2" t="inlineStr">
        <is>
          <t>Dermic Dermatologia Integrada</t>
        </is>
      </c>
      <c r="H87" s="3" t="inlineStr">
        <is>
          <t>@clinicadermic</t>
        </is>
      </c>
      <c r="I87" s="2" t="inlineStr">
        <is>
          <t>São Paulo</t>
        </is>
      </c>
      <c r="J87" s="2" t="n"/>
      <c r="K87" s="2" t="inlineStr"/>
      <c r="L87" s="2" t="inlineStr">
        <is>
          <t>verificar</t>
        </is>
      </c>
      <c r="M87" s="2" t="inlineStr"/>
      <c r="N87" s="2" t="inlineStr"/>
      <c r="O87" s="3" t="inlineStr">
        <is>
          <t>Abrir prévia</t>
        </is>
      </c>
      <c r="P87" s="4" t="inlineStr">
        <is>
          <t>Oi, pessoal da Dermic Dermatologia Integrada! Sou o [SEU NOME], da Downway. Acompanho o conteúdo de vocês de dermatologia aqui no Instagram e montei uma prévia de site para a Dermic Dermatologia Integrada, já seguindo a resolução de publicidade médica do CFM (2.336/2023): https://downway.com.br/demo/clinicadermic/
Hoje, quem pesquisa "dermatologista em São Paulo" no Google encontra outros profissionais. Com o site, essa pessoa chega até vocês e já fala no WhatsApp. Posso mostrar como fica no ar?</t>
        </is>
      </c>
      <c r="Q87" s="4" t="inlineStr">
        <is>
          <t>Oi! Conseguiu ver a prévia do site? Se quiser, ajusto cores, fotos ou textos para ficar com a cara do seu trabalho. A prévia fica no ar por 7 dias.</t>
        </is>
      </c>
      <c r="R87" s="2" t="inlineStr">
        <is>
          <t>Novo</t>
        </is>
      </c>
      <c r="S87" s="5" t="n"/>
      <c r="T87" s="2" t="inlineStr"/>
      <c r="U87" s="4" t="inlineStr"/>
    </row>
    <row r="88" ht="96" customHeight="1">
      <c r="A88" s="2" t="n">
        <v>87</v>
      </c>
      <c r="B88" s="2" t="inlineStr">
        <is>
          <t>B</t>
        </is>
      </c>
      <c r="C88" s="2" t="n">
        <v>4</v>
      </c>
      <c r="D88" s="2" t="inlineStr">
        <is>
          <t>Profissional</t>
        </is>
      </c>
      <c r="E88" s="2" t="inlineStr">
        <is>
          <t>Médico</t>
        </is>
      </c>
      <c r="F88" s="2" t="inlineStr">
        <is>
          <t>ortopedia</t>
        </is>
      </c>
      <c r="G88" s="2" t="inlineStr">
        <is>
          <t>Dr. Rafael Carboni</t>
        </is>
      </c>
      <c r="H88" s="3" t="inlineStr">
        <is>
          <t>@drrafaelcarboni</t>
        </is>
      </c>
      <c r="I88" s="2" t="inlineStr">
        <is>
          <t>São Paulo</t>
        </is>
      </c>
      <c r="J88" s="2" t="n"/>
      <c r="K88" s="2" t="inlineStr"/>
      <c r="L88" s="2" t="inlineStr">
        <is>
          <t>verificar</t>
        </is>
      </c>
      <c r="M88" s="2" t="inlineStr"/>
      <c r="N88" s="2" t="inlineStr"/>
      <c r="O88" s="3" t="inlineStr">
        <is>
          <t>Abrir prévia</t>
        </is>
      </c>
      <c r="P88" s="4" t="inlineStr">
        <is>
          <t>Oi, Dr. Rafael! Sou o [SEU NOME], da Downway. Acompanho seu conteúdo de coluna aqui no Instagram e montei uma prévia de site para você, já seguindo a resolução de publicidade médica do CFM (2.336/2023): https://downway.com.br/demo/drrafaelcarboni/
Hoje, quem pesquisa "ortopedista de coluna em São Paulo" no Google encontra outros profissionais. Com o site, essa pessoa chega até você e já fala no WhatsApp. Posso mostrar como fica no ar?</t>
        </is>
      </c>
      <c r="Q88" s="4" t="inlineStr">
        <is>
          <t>Oi! Conseguiu ver a prévia do site? Se quiser, ajusto cores, fotos ou textos para ficar com a cara do seu trabalho. A prévia fica no ar por 7 dias.</t>
        </is>
      </c>
      <c r="R88" s="2" t="inlineStr">
        <is>
          <t>Novo</t>
        </is>
      </c>
      <c r="S88" s="5" t="n"/>
      <c r="T88" s="2" t="inlineStr"/>
      <c r="U88" s="4" t="inlineStr"/>
    </row>
    <row r="89" ht="96" customHeight="1">
      <c r="A89" s="2" t="n">
        <v>88</v>
      </c>
      <c r="B89" s="2" t="inlineStr">
        <is>
          <t>B</t>
        </is>
      </c>
      <c r="C89" s="2" t="n">
        <v>4</v>
      </c>
      <c r="D89" s="2" t="inlineStr">
        <is>
          <t>Profissional</t>
        </is>
      </c>
      <c r="E89" s="2" t="inlineStr">
        <is>
          <t>Nutricionista</t>
        </is>
      </c>
      <c r="F89" s="2" t="inlineStr">
        <is>
          <t>nutrição</t>
        </is>
      </c>
      <c r="G89" s="2" t="inlineStr">
        <is>
          <t>Isabella Lacerda Nutricionista</t>
        </is>
      </c>
      <c r="H89" s="3" t="inlineStr">
        <is>
          <t>@isabellalacerda_nutri</t>
        </is>
      </c>
      <c r="I89" s="2" t="inlineStr">
        <is>
          <t>São Paulo</t>
        </is>
      </c>
      <c r="J89" s="2" t="n"/>
      <c r="K89" s="2" t="inlineStr"/>
      <c r="L89" s="2" t="inlineStr">
        <is>
          <t>verificar</t>
        </is>
      </c>
      <c r="M89" s="2" t="inlineStr"/>
      <c r="N89" s="2" t="inlineStr"/>
      <c r="O89" s="3" t="inlineStr">
        <is>
          <t>Abrir prévia</t>
        </is>
      </c>
      <c r="P89" s="4" t="inlineStr">
        <is>
          <t>Oi, Isabella! Sou o [SEU NOME], da Downway. Acompanho seu conteúdo de nutrição aqui no Instagram e montei uma prévia de site para você, já com o CRN em destaque e dentro das regras do conselho: https://downway.com.br/demo/isabellalacerda-nutri/
Hoje, quem pesquisa "nutricionista em São Paulo" no Google encontra outros profissionais. Com o site, essa pessoa chega até você e já fala no WhatsApp. Posso mostrar como fica no ar?</t>
        </is>
      </c>
      <c r="Q89" s="4" t="inlineStr">
        <is>
          <t>Oi! Conseguiu ver a prévia do site? Se quiser, ajusto cores, fotos ou textos para ficar com a cara do seu trabalho. A prévia fica no ar por 7 dias.</t>
        </is>
      </c>
      <c r="R89" s="2" t="inlineStr">
        <is>
          <t>Novo</t>
        </is>
      </c>
      <c r="S89" s="5" t="n"/>
      <c r="T89" s="2" t="inlineStr"/>
      <c r="U89" s="4" t="inlineStr">
        <is>
          <t>Vende programa online, pode ter página</t>
        </is>
      </c>
    </row>
    <row r="90" ht="96" customHeight="1">
      <c r="A90" s="2" t="n">
        <v>89</v>
      </c>
      <c r="B90" s="2" t="inlineStr">
        <is>
          <t>B</t>
        </is>
      </c>
      <c r="C90" s="2" t="n">
        <v>4</v>
      </c>
      <c r="D90" s="2" t="inlineStr">
        <is>
          <t>Profissional</t>
        </is>
      </c>
      <c r="E90" s="2" t="inlineStr">
        <is>
          <t>Nutricionista</t>
        </is>
      </c>
      <c r="F90" s="2" t="inlineStr">
        <is>
          <t>nutrição infantil</t>
        </is>
      </c>
      <c r="G90" s="2" t="inlineStr">
        <is>
          <t>Ninho Espaço Materno Infantil</t>
        </is>
      </c>
      <c r="H90" s="3" t="inlineStr">
        <is>
          <t>@espaco.ninho</t>
        </is>
      </c>
      <c r="I90" s="2" t="inlineStr">
        <is>
          <t>São Paulo</t>
        </is>
      </c>
      <c r="J90" s="2" t="n"/>
      <c r="K90" s="2" t="inlineStr"/>
      <c r="L90" s="2" t="inlineStr">
        <is>
          <t>verificar</t>
        </is>
      </c>
      <c r="M90" s="2" t="inlineStr"/>
      <c r="N90" s="2" t="inlineStr"/>
      <c r="O90" s="3" t="inlineStr">
        <is>
          <t>Abrir prévia</t>
        </is>
      </c>
      <c r="P90" s="4" t="inlineStr">
        <is>
          <t>Oi, pessoal da Ninho Espaço Materno Infantil! Sou o [SEU NOME], da Downway. Acompanho o conteúdo de vocês de nutrição materno-infantil aqui no Instagram e montei uma prévia de site para a Ninho Espaço Materno Infantil, já com o CRN em destaque e dentro das regras do conselho: https://downway.com.br/demo/espaco-ninho/
Hoje, quem pesquisa "nutricionista infantil em São Paulo" no Google encontra outros profissionais. Com o site, essa pessoa chega até vocês e já fala no WhatsApp. Posso mostrar como fica no ar?</t>
        </is>
      </c>
      <c r="Q90" s="4" t="inlineStr">
        <is>
          <t>Oi! Conseguiu ver a prévia do site? Se quiser, ajusto cores, fotos ou textos para ficar com a cara do seu trabalho. A prévia fica no ar por 7 dias.</t>
        </is>
      </c>
      <c r="R90" s="2" t="inlineStr">
        <is>
          <t>Novo</t>
        </is>
      </c>
      <c r="S90" s="5" t="n"/>
      <c r="T90" s="2" t="inlineStr"/>
      <c r="U90" s="4" t="inlineStr"/>
    </row>
    <row r="91" ht="96" customHeight="1">
      <c r="A91" s="2" t="n">
        <v>90</v>
      </c>
      <c r="B91" s="2" t="inlineStr">
        <is>
          <t>B</t>
        </is>
      </c>
      <c r="C91" s="2" t="n">
        <v>3</v>
      </c>
      <c r="D91" s="2" t="inlineStr">
        <is>
          <t>Profissional</t>
        </is>
      </c>
      <c r="E91" s="2" t="inlineStr">
        <is>
          <t>Advogado</t>
        </is>
      </c>
      <c r="F91" s="2" t="inlineStr">
        <is>
          <t>bancário</t>
        </is>
      </c>
      <c r="G91" s="2" t="inlineStr">
        <is>
          <t>Jéssica Abreu Advocacia</t>
        </is>
      </c>
      <c r="H91" s="3" t="inlineStr">
        <is>
          <t>@jessicaabreuadv</t>
        </is>
      </c>
      <c r="I91" s="2" t="inlineStr">
        <is>
          <t>São Paulo</t>
        </is>
      </c>
      <c r="J91" s="2" t="n">
        <v>71000</v>
      </c>
      <c r="K91" s="2" t="inlineStr"/>
      <c r="L91" s="2" t="inlineStr">
        <is>
          <t>verificar</t>
        </is>
      </c>
      <c r="M91" s="2" t="inlineStr"/>
      <c r="N91" s="2" t="inlineStr"/>
      <c r="O91" s="3" t="inlineStr">
        <is>
          <t>Abrir prévia</t>
        </is>
      </c>
      <c r="P91" s="4" t="inlineStr">
        <is>
          <t>Oi, Jéssica! Sou o [SEU NOME], da Downway. Acompanho seu conteúdo de direito bancário aqui no Instagram e montei uma prévia de site para você, já seguindo as regras de publicidade da OAB (Provimento 205/2021): https://downway.com.br/demo/jessicaabreuadv/
Hoje, quem pesquisa "advogado bancário em São Paulo" no Google encontra outros profissionais. Com o site, essa pessoa chega até você e já fala no WhatsApp. Posso mostrar como fica no ar?</t>
        </is>
      </c>
      <c r="Q91" s="4" t="inlineStr">
        <is>
          <t>Oi! Conseguiu ver a prévia do site? Se quiser, ajusto cores, fotos ou textos para ficar com a cara do seu trabalho. A prévia fica no ar por 7 dias.</t>
        </is>
      </c>
      <c r="R91" s="2" t="inlineStr">
        <is>
          <t>Novo</t>
        </is>
      </c>
      <c r="S91" s="5" t="n"/>
      <c r="T91" s="2" t="inlineStr"/>
      <c r="U91" s="4" t="inlineStr">
        <is>
          <t>Perfil grande, pode ter site</t>
        </is>
      </c>
    </row>
    <row r="92" ht="96" customHeight="1">
      <c r="A92" s="2" t="n">
        <v>91</v>
      </c>
      <c r="B92" s="2" t="inlineStr">
        <is>
          <t>B</t>
        </is>
      </c>
      <c r="C92" s="2" t="n">
        <v>3</v>
      </c>
      <c r="D92" s="2" t="inlineStr">
        <is>
          <t>Negócio local</t>
        </is>
      </c>
      <c r="E92" s="2" t="inlineStr">
        <is>
          <t>Marcenaria</t>
        </is>
      </c>
      <c r="F92" s="2" t="inlineStr">
        <is>
          <t>marcenaria</t>
        </is>
      </c>
      <c r="G92" s="2" t="inlineStr">
        <is>
          <t>WPlanejados &amp; Marcenaria</t>
        </is>
      </c>
      <c r="H92" s="3" t="inlineStr">
        <is>
          <t>@wplanejados</t>
        </is>
      </c>
      <c r="I92" s="2" t="inlineStr">
        <is>
          <t>Zona Leste</t>
        </is>
      </c>
      <c r="J92" s="2" t="n">
        <v>48000</v>
      </c>
      <c r="K92" s="2" t="inlineStr"/>
      <c r="L92" s="2" t="inlineStr">
        <is>
          <t>verificar</t>
        </is>
      </c>
      <c r="M92" s="2" t="inlineStr"/>
      <c r="N92" s="2" t="inlineStr"/>
      <c r="O92" s="3" t="inlineStr">
        <is>
          <t>Abrir prévia</t>
        </is>
      </c>
      <c r="P92" s="4" t="inlineStr">
        <is>
          <t>Oi, pessoal da WPlanejados &amp; Marcenaria! Sou o [SEU NOME], da Downway. Curto muito o trabalho de vocês aqui no Instagram. Montei uma prévia de site para a WPlanejados &amp; Marcenaria só para vocês verem como fica: https://downway.com.br/demo/wplanejados/
Quem procura "marcenaria Zona Leste" no Google cai nos concorrentes. Com o site, cai em vocês e já chama no WhatsApp. Abre no celular e me diz o que achou?</t>
        </is>
      </c>
      <c r="Q92" s="4" t="inlineStr">
        <is>
          <t>Oi! Conseguiu ver a prévia do site? Se quiser, ajusto cores, fotos ou textos para ficar com a cara de vocês. A prévia fica no ar por 7 dias.</t>
        </is>
      </c>
      <c r="R92" s="2" t="inlineStr">
        <is>
          <t>Novo</t>
        </is>
      </c>
      <c r="S92" s="5" t="n"/>
      <c r="T92" s="2" t="inlineStr"/>
      <c r="U92" s="4" t="inlineStr">
        <is>
          <t>48 mil seguidores, pode já ter site</t>
        </is>
      </c>
    </row>
  </sheetData>
  <autoFilter ref="A1:U92"/>
  <conditionalFormatting sqref="B2:B92">
    <cfRule type="cellIs" priority="1" operator="equal" dxfId="0">
      <formula>"A"</formula>
    </cfRule>
  </conditionalFormatting>
  <conditionalFormatting sqref="C2:C92">
    <cfRule type="cellIs" priority="2" operator="greaterThanOrEqual" dxfId="1">
      <formula>8</formula>
    </cfRule>
  </conditionalFormatting>
  <conditionalFormatting sqref="A2:U92">
    <cfRule type="expression" priority="3" dxfId="2">
      <formula>$R2="Fechado"</formula>
    </cfRule>
    <cfRule type="expression" priority="4" dxfId="3">
      <formula>OR($R2="Perdido",$R2="Descartado")</formula>
    </cfRule>
  </conditionalFormatting>
  <dataValidations count="1">
    <dataValidation sqref="R2:R92" showDropDown="0" showInputMessage="0" showErrorMessage="0" allowBlank="1" type="list">
      <formula1>"Novo,Perfil conferido,Contatado,Follow-up enviado,Respondeu,Reunião,Proposta,Fechado,Perdido,Descartado"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O2" r:id="rId2"/>
    <hyperlink xmlns:r="http://schemas.openxmlformats.org/officeDocument/2006/relationships" ref="H3" r:id="rId3"/>
    <hyperlink xmlns:r="http://schemas.openxmlformats.org/officeDocument/2006/relationships" ref="O3" r:id="rId4"/>
    <hyperlink xmlns:r="http://schemas.openxmlformats.org/officeDocument/2006/relationships" ref="H4" r:id="rId5"/>
    <hyperlink xmlns:r="http://schemas.openxmlformats.org/officeDocument/2006/relationships" ref="O4" r:id="rId6"/>
    <hyperlink xmlns:r="http://schemas.openxmlformats.org/officeDocument/2006/relationships" ref="H5" r:id="rId7"/>
    <hyperlink xmlns:r="http://schemas.openxmlformats.org/officeDocument/2006/relationships" ref="O5" r:id="rId8"/>
    <hyperlink xmlns:r="http://schemas.openxmlformats.org/officeDocument/2006/relationships" ref="H6" r:id="rId9"/>
    <hyperlink xmlns:r="http://schemas.openxmlformats.org/officeDocument/2006/relationships" ref="O6" r:id="rId10"/>
    <hyperlink xmlns:r="http://schemas.openxmlformats.org/officeDocument/2006/relationships" ref="H7" r:id="rId11"/>
    <hyperlink xmlns:r="http://schemas.openxmlformats.org/officeDocument/2006/relationships" ref="O7" r:id="rId12"/>
    <hyperlink xmlns:r="http://schemas.openxmlformats.org/officeDocument/2006/relationships" ref="H8" r:id="rId13"/>
    <hyperlink xmlns:r="http://schemas.openxmlformats.org/officeDocument/2006/relationships" ref="O8" r:id="rId14"/>
    <hyperlink xmlns:r="http://schemas.openxmlformats.org/officeDocument/2006/relationships" ref="H9" r:id="rId15"/>
    <hyperlink xmlns:r="http://schemas.openxmlformats.org/officeDocument/2006/relationships" ref="O9" r:id="rId16"/>
    <hyperlink xmlns:r="http://schemas.openxmlformats.org/officeDocument/2006/relationships" ref="H10" r:id="rId17"/>
    <hyperlink xmlns:r="http://schemas.openxmlformats.org/officeDocument/2006/relationships" ref="O10" r:id="rId18"/>
    <hyperlink xmlns:r="http://schemas.openxmlformats.org/officeDocument/2006/relationships" ref="H11" r:id="rId19"/>
    <hyperlink xmlns:r="http://schemas.openxmlformats.org/officeDocument/2006/relationships" ref="O11" r:id="rId20"/>
    <hyperlink xmlns:r="http://schemas.openxmlformats.org/officeDocument/2006/relationships" ref="H12" r:id="rId21"/>
    <hyperlink xmlns:r="http://schemas.openxmlformats.org/officeDocument/2006/relationships" ref="O12" r:id="rId22"/>
    <hyperlink xmlns:r="http://schemas.openxmlformats.org/officeDocument/2006/relationships" ref="H13" r:id="rId23"/>
    <hyperlink xmlns:r="http://schemas.openxmlformats.org/officeDocument/2006/relationships" ref="O13" r:id="rId24"/>
    <hyperlink xmlns:r="http://schemas.openxmlformats.org/officeDocument/2006/relationships" ref="H14" r:id="rId25"/>
    <hyperlink xmlns:r="http://schemas.openxmlformats.org/officeDocument/2006/relationships" ref="O14" r:id="rId26"/>
    <hyperlink xmlns:r="http://schemas.openxmlformats.org/officeDocument/2006/relationships" ref="H15" r:id="rId27"/>
    <hyperlink xmlns:r="http://schemas.openxmlformats.org/officeDocument/2006/relationships" ref="O15" r:id="rId28"/>
    <hyperlink xmlns:r="http://schemas.openxmlformats.org/officeDocument/2006/relationships" ref="H16" r:id="rId29"/>
    <hyperlink xmlns:r="http://schemas.openxmlformats.org/officeDocument/2006/relationships" ref="O16" r:id="rId30"/>
    <hyperlink xmlns:r="http://schemas.openxmlformats.org/officeDocument/2006/relationships" ref="H17" r:id="rId31"/>
    <hyperlink xmlns:r="http://schemas.openxmlformats.org/officeDocument/2006/relationships" ref="O17" r:id="rId32"/>
    <hyperlink xmlns:r="http://schemas.openxmlformats.org/officeDocument/2006/relationships" ref="H18" r:id="rId33"/>
    <hyperlink xmlns:r="http://schemas.openxmlformats.org/officeDocument/2006/relationships" ref="O18" r:id="rId34"/>
    <hyperlink xmlns:r="http://schemas.openxmlformats.org/officeDocument/2006/relationships" ref="H19" r:id="rId35"/>
    <hyperlink xmlns:r="http://schemas.openxmlformats.org/officeDocument/2006/relationships" ref="O19" r:id="rId36"/>
    <hyperlink xmlns:r="http://schemas.openxmlformats.org/officeDocument/2006/relationships" ref="H20" r:id="rId37"/>
    <hyperlink xmlns:r="http://schemas.openxmlformats.org/officeDocument/2006/relationships" ref="O20" r:id="rId38"/>
    <hyperlink xmlns:r="http://schemas.openxmlformats.org/officeDocument/2006/relationships" ref="H21" r:id="rId39"/>
    <hyperlink xmlns:r="http://schemas.openxmlformats.org/officeDocument/2006/relationships" ref="O21" r:id="rId40"/>
    <hyperlink xmlns:r="http://schemas.openxmlformats.org/officeDocument/2006/relationships" ref="H22" r:id="rId41"/>
    <hyperlink xmlns:r="http://schemas.openxmlformats.org/officeDocument/2006/relationships" ref="O22" r:id="rId42"/>
    <hyperlink xmlns:r="http://schemas.openxmlformats.org/officeDocument/2006/relationships" ref="H23" r:id="rId43"/>
    <hyperlink xmlns:r="http://schemas.openxmlformats.org/officeDocument/2006/relationships" ref="O23" r:id="rId44"/>
    <hyperlink xmlns:r="http://schemas.openxmlformats.org/officeDocument/2006/relationships" ref="H24" r:id="rId45"/>
    <hyperlink xmlns:r="http://schemas.openxmlformats.org/officeDocument/2006/relationships" ref="O24" r:id="rId46"/>
    <hyperlink xmlns:r="http://schemas.openxmlformats.org/officeDocument/2006/relationships" ref="H25" r:id="rId47"/>
    <hyperlink xmlns:r="http://schemas.openxmlformats.org/officeDocument/2006/relationships" ref="O25" r:id="rId48"/>
    <hyperlink xmlns:r="http://schemas.openxmlformats.org/officeDocument/2006/relationships" ref="H26" r:id="rId49"/>
    <hyperlink xmlns:r="http://schemas.openxmlformats.org/officeDocument/2006/relationships" ref="O26" r:id="rId50"/>
    <hyperlink xmlns:r="http://schemas.openxmlformats.org/officeDocument/2006/relationships" ref="H27" r:id="rId51"/>
    <hyperlink xmlns:r="http://schemas.openxmlformats.org/officeDocument/2006/relationships" ref="O27" r:id="rId52"/>
    <hyperlink xmlns:r="http://schemas.openxmlformats.org/officeDocument/2006/relationships" ref="H28" r:id="rId53"/>
    <hyperlink xmlns:r="http://schemas.openxmlformats.org/officeDocument/2006/relationships" ref="O28" r:id="rId54"/>
    <hyperlink xmlns:r="http://schemas.openxmlformats.org/officeDocument/2006/relationships" ref="H29" r:id="rId55"/>
    <hyperlink xmlns:r="http://schemas.openxmlformats.org/officeDocument/2006/relationships" ref="O29" r:id="rId56"/>
    <hyperlink xmlns:r="http://schemas.openxmlformats.org/officeDocument/2006/relationships" ref="H30" r:id="rId57"/>
    <hyperlink xmlns:r="http://schemas.openxmlformats.org/officeDocument/2006/relationships" ref="O30" r:id="rId58"/>
    <hyperlink xmlns:r="http://schemas.openxmlformats.org/officeDocument/2006/relationships" ref="H31" r:id="rId59"/>
    <hyperlink xmlns:r="http://schemas.openxmlformats.org/officeDocument/2006/relationships" ref="O31" r:id="rId60"/>
    <hyperlink xmlns:r="http://schemas.openxmlformats.org/officeDocument/2006/relationships" ref="H32" r:id="rId61"/>
    <hyperlink xmlns:r="http://schemas.openxmlformats.org/officeDocument/2006/relationships" ref="O32" r:id="rId62"/>
    <hyperlink xmlns:r="http://schemas.openxmlformats.org/officeDocument/2006/relationships" ref="H33" r:id="rId63"/>
    <hyperlink xmlns:r="http://schemas.openxmlformats.org/officeDocument/2006/relationships" ref="O33" r:id="rId64"/>
    <hyperlink xmlns:r="http://schemas.openxmlformats.org/officeDocument/2006/relationships" ref="H34" r:id="rId65"/>
    <hyperlink xmlns:r="http://schemas.openxmlformats.org/officeDocument/2006/relationships" ref="O34" r:id="rId66"/>
    <hyperlink xmlns:r="http://schemas.openxmlformats.org/officeDocument/2006/relationships" ref="H35" r:id="rId67"/>
    <hyperlink xmlns:r="http://schemas.openxmlformats.org/officeDocument/2006/relationships" ref="O35" r:id="rId68"/>
    <hyperlink xmlns:r="http://schemas.openxmlformats.org/officeDocument/2006/relationships" ref="H36" r:id="rId69"/>
    <hyperlink xmlns:r="http://schemas.openxmlformats.org/officeDocument/2006/relationships" ref="O36" r:id="rId70"/>
    <hyperlink xmlns:r="http://schemas.openxmlformats.org/officeDocument/2006/relationships" ref="H37" r:id="rId71"/>
    <hyperlink xmlns:r="http://schemas.openxmlformats.org/officeDocument/2006/relationships" ref="O37" r:id="rId72"/>
    <hyperlink xmlns:r="http://schemas.openxmlformats.org/officeDocument/2006/relationships" ref="H38" r:id="rId73"/>
    <hyperlink xmlns:r="http://schemas.openxmlformats.org/officeDocument/2006/relationships" ref="O38" r:id="rId74"/>
    <hyperlink xmlns:r="http://schemas.openxmlformats.org/officeDocument/2006/relationships" ref="H39" r:id="rId75"/>
    <hyperlink xmlns:r="http://schemas.openxmlformats.org/officeDocument/2006/relationships" ref="O39" r:id="rId76"/>
    <hyperlink xmlns:r="http://schemas.openxmlformats.org/officeDocument/2006/relationships" ref="H40" r:id="rId77"/>
    <hyperlink xmlns:r="http://schemas.openxmlformats.org/officeDocument/2006/relationships" ref="O40" r:id="rId78"/>
    <hyperlink xmlns:r="http://schemas.openxmlformats.org/officeDocument/2006/relationships" ref="H41" r:id="rId79"/>
    <hyperlink xmlns:r="http://schemas.openxmlformats.org/officeDocument/2006/relationships" ref="O41" r:id="rId80"/>
    <hyperlink xmlns:r="http://schemas.openxmlformats.org/officeDocument/2006/relationships" ref="H42" r:id="rId81"/>
    <hyperlink xmlns:r="http://schemas.openxmlformats.org/officeDocument/2006/relationships" ref="O42" r:id="rId82"/>
    <hyperlink xmlns:r="http://schemas.openxmlformats.org/officeDocument/2006/relationships" ref="H43" r:id="rId83"/>
    <hyperlink xmlns:r="http://schemas.openxmlformats.org/officeDocument/2006/relationships" ref="O43" r:id="rId84"/>
    <hyperlink xmlns:r="http://schemas.openxmlformats.org/officeDocument/2006/relationships" ref="H44" r:id="rId85"/>
    <hyperlink xmlns:r="http://schemas.openxmlformats.org/officeDocument/2006/relationships" ref="O44" r:id="rId86"/>
    <hyperlink xmlns:r="http://schemas.openxmlformats.org/officeDocument/2006/relationships" ref="H45" r:id="rId87"/>
    <hyperlink xmlns:r="http://schemas.openxmlformats.org/officeDocument/2006/relationships" ref="O45" r:id="rId88"/>
    <hyperlink xmlns:r="http://schemas.openxmlformats.org/officeDocument/2006/relationships" ref="H46" r:id="rId89"/>
    <hyperlink xmlns:r="http://schemas.openxmlformats.org/officeDocument/2006/relationships" ref="O46" r:id="rId90"/>
    <hyperlink xmlns:r="http://schemas.openxmlformats.org/officeDocument/2006/relationships" ref="H47" r:id="rId91"/>
    <hyperlink xmlns:r="http://schemas.openxmlformats.org/officeDocument/2006/relationships" ref="O47" r:id="rId92"/>
    <hyperlink xmlns:r="http://schemas.openxmlformats.org/officeDocument/2006/relationships" ref="H48" r:id="rId93"/>
    <hyperlink xmlns:r="http://schemas.openxmlformats.org/officeDocument/2006/relationships" ref="O48" r:id="rId94"/>
    <hyperlink xmlns:r="http://schemas.openxmlformats.org/officeDocument/2006/relationships" ref="H49" r:id="rId95"/>
    <hyperlink xmlns:r="http://schemas.openxmlformats.org/officeDocument/2006/relationships" ref="O49" r:id="rId96"/>
    <hyperlink xmlns:r="http://schemas.openxmlformats.org/officeDocument/2006/relationships" ref="H50" r:id="rId97"/>
    <hyperlink xmlns:r="http://schemas.openxmlformats.org/officeDocument/2006/relationships" ref="O50" r:id="rId98"/>
    <hyperlink xmlns:r="http://schemas.openxmlformats.org/officeDocument/2006/relationships" ref="H51" r:id="rId99"/>
    <hyperlink xmlns:r="http://schemas.openxmlformats.org/officeDocument/2006/relationships" ref="O51" r:id="rId100"/>
    <hyperlink xmlns:r="http://schemas.openxmlformats.org/officeDocument/2006/relationships" ref="H52" r:id="rId101"/>
    <hyperlink xmlns:r="http://schemas.openxmlformats.org/officeDocument/2006/relationships" ref="O52" r:id="rId102"/>
    <hyperlink xmlns:r="http://schemas.openxmlformats.org/officeDocument/2006/relationships" ref="H53" r:id="rId103"/>
    <hyperlink xmlns:r="http://schemas.openxmlformats.org/officeDocument/2006/relationships" ref="O53" r:id="rId104"/>
    <hyperlink xmlns:r="http://schemas.openxmlformats.org/officeDocument/2006/relationships" ref="H54" r:id="rId105"/>
    <hyperlink xmlns:r="http://schemas.openxmlformats.org/officeDocument/2006/relationships" ref="O54" r:id="rId106"/>
    <hyperlink xmlns:r="http://schemas.openxmlformats.org/officeDocument/2006/relationships" ref="H55" r:id="rId107"/>
    <hyperlink xmlns:r="http://schemas.openxmlformats.org/officeDocument/2006/relationships" ref="O55" r:id="rId108"/>
    <hyperlink xmlns:r="http://schemas.openxmlformats.org/officeDocument/2006/relationships" ref="H56" r:id="rId109"/>
    <hyperlink xmlns:r="http://schemas.openxmlformats.org/officeDocument/2006/relationships" ref="O56" r:id="rId110"/>
    <hyperlink xmlns:r="http://schemas.openxmlformats.org/officeDocument/2006/relationships" ref="H57" r:id="rId111"/>
    <hyperlink xmlns:r="http://schemas.openxmlformats.org/officeDocument/2006/relationships" ref="O57" r:id="rId112"/>
    <hyperlink xmlns:r="http://schemas.openxmlformats.org/officeDocument/2006/relationships" ref="H58" r:id="rId113"/>
    <hyperlink xmlns:r="http://schemas.openxmlformats.org/officeDocument/2006/relationships" ref="O58" r:id="rId114"/>
    <hyperlink xmlns:r="http://schemas.openxmlformats.org/officeDocument/2006/relationships" ref="H59" r:id="rId115"/>
    <hyperlink xmlns:r="http://schemas.openxmlformats.org/officeDocument/2006/relationships" ref="O59" r:id="rId116"/>
    <hyperlink xmlns:r="http://schemas.openxmlformats.org/officeDocument/2006/relationships" ref="H60" r:id="rId117"/>
    <hyperlink xmlns:r="http://schemas.openxmlformats.org/officeDocument/2006/relationships" ref="O60" r:id="rId118"/>
    <hyperlink xmlns:r="http://schemas.openxmlformats.org/officeDocument/2006/relationships" ref="H61" r:id="rId119"/>
    <hyperlink xmlns:r="http://schemas.openxmlformats.org/officeDocument/2006/relationships" ref="O61" r:id="rId120"/>
    <hyperlink xmlns:r="http://schemas.openxmlformats.org/officeDocument/2006/relationships" ref="H62" r:id="rId121"/>
    <hyperlink xmlns:r="http://schemas.openxmlformats.org/officeDocument/2006/relationships" ref="O62" r:id="rId122"/>
    <hyperlink xmlns:r="http://schemas.openxmlformats.org/officeDocument/2006/relationships" ref="H63" r:id="rId123"/>
    <hyperlink xmlns:r="http://schemas.openxmlformats.org/officeDocument/2006/relationships" ref="O63" r:id="rId124"/>
    <hyperlink xmlns:r="http://schemas.openxmlformats.org/officeDocument/2006/relationships" ref="H64" r:id="rId125"/>
    <hyperlink xmlns:r="http://schemas.openxmlformats.org/officeDocument/2006/relationships" ref="O64" r:id="rId126"/>
    <hyperlink xmlns:r="http://schemas.openxmlformats.org/officeDocument/2006/relationships" ref="H65" r:id="rId127"/>
    <hyperlink xmlns:r="http://schemas.openxmlformats.org/officeDocument/2006/relationships" ref="O65" r:id="rId128"/>
    <hyperlink xmlns:r="http://schemas.openxmlformats.org/officeDocument/2006/relationships" ref="H66" r:id="rId129"/>
    <hyperlink xmlns:r="http://schemas.openxmlformats.org/officeDocument/2006/relationships" ref="O66" r:id="rId130"/>
    <hyperlink xmlns:r="http://schemas.openxmlformats.org/officeDocument/2006/relationships" ref="H67" r:id="rId131"/>
    <hyperlink xmlns:r="http://schemas.openxmlformats.org/officeDocument/2006/relationships" ref="O67" r:id="rId132"/>
    <hyperlink xmlns:r="http://schemas.openxmlformats.org/officeDocument/2006/relationships" ref="H68" r:id="rId133"/>
    <hyperlink xmlns:r="http://schemas.openxmlformats.org/officeDocument/2006/relationships" ref="O68" r:id="rId134"/>
    <hyperlink xmlns:r="http://schemas.openxmlformats.org/officeDocument/2006/relationships" ref="H69" r:id="rId135"/>
    <hyperlink xmlns:r="http://schemas.openxmlformats.org/officeDocument/2006/relationships" ref="O69" r:id="rId136"/>
    <hyperlink xmlns:r="http://schemas.openxmlformats.org/officeDocument/2006/relationships" ref="H70" r:id="rId137"/>
    <hyperlink xmlns:r="http://schemas.openxmlformats.org/officeDocument/2006/relationships" ref="O70" r:id="rId138"/>
    <hyperlink xmlns:r="http://schemas.openxmlformats.org/officeDocument/2006/relationships" ref="H71" r:id="rId139"/>
    <hyperlink xmlns:r="http://schemas.openxmlformats.org/officeDocument/2006/relationships" ref="O71" r:id="rId140"/>
    <hyperlink xmlns:r="http://schemas.openxmlformats.org/officeDocument/2006/relationships" ref="H72" r:id="rId141"/>
    <hyperlink xmlns:r="http://schemas.openxmlformats.org/officeDocument/2006/relationships" ref="O72" r:id="rId142"/>
    <hyperlink xmlns:r="http://schemas.openxmlformats.org/officeDocument/2006/relationships" ref="H73" r:id="rId143"/>
    <hyperlink xmlns:r="http://schemas.openxmlformats.org/officeDocument/2006/relationships" ref="O73" r:id="rId144"/>
    <hyperlink xmlns:r="http://schemas.openxmlformats.org/officeDocument/2006/relationships" ref="H74" r:id="rId145"/>
    <hyperlink xmlns:r="http://schemas.openxmlformats.org/officeDocument/2006/relationships" ref="O74" r:id="rId146"/>
    <hyperlink xmlns:r="http://schemas.openxmlformats.org/officeDocument/2006/relationships" ref="H75" r:id="rId147"/>
    <hyperlink xmlns:r="http://schemas.openxmlformats.org/officeDocument/2006/relationships" ref="O75" r:id="rId148"/>
    <hyperlink xmlns:r="http://schemas.openxmlformats.org/officeDocument/2006/relationships" ref="H76" r:id="rId149"/>
    <hyperlink xmlns:r="http://schemas.openxmlformats.org/officeDocument/2006/relationships" ref="O76" r:id="rId150"/>
    <hyperlink xmlns:r="http://schemas.openxmlformats.org/officeDocument/2006/relationships" ref="H77" r:id="rId151"/>
    <hyperlink xmlns:r="http://schemas.openxmlformats.org/officeDocument/2006/relationships" ref="O77" r:id="rId152"/>
    <hyperlink xmlns:r="http://schemas.openxmlformats.org/officeDocument/2006/relationships" ref="H78" r:id="rId153"/>
    <hyperlink xmlns:r="http://schemas.openxmlformats.org/officeDocument/2006/relationships" ref="O78" r:id="rId154"/>
    <hyperlink xmlns:r="http://schemas.openxmlformats.org/officeDocument/2006/relationships" ref="H79" r:id="rId155"/>
    <hyperlink xmlns:r="http://schemas.openxmlformats.org/officeDocument/2006/relationships" ref="O79" r:id="rId156"/>
    <hyperlink xmlns:r="http://schemas.openxmlformats.org/officeDocument/2006/relationships" ref="H80" r:id="rId157"/>
    <hyperlink xmlns:r="http://schemas.openxmlformats.org/officeDocument/2006/relationships" ref="O80" r:id="rId158"/>
    <hyperlink xmlns:r="http://schemas.openxmlformats.org/officeDocument/2006/relationships" ref="H81" r:id="rId159"/>
    <hyperlink xmlns:r="http://schemas.openxmlformats.org/officeDocument/2006/relationships" ref="O81" r:id="rId160"/>
    <hyperlink xmlns:r="http://schemas.openxmlformats.org/officeDocument/2006/relationships" ref="H82" r:id="rId161"/>
    <hyperlink xmlns:r="http://schemas.openxmlformats.org/officeDocument/2006/relationships" ref="O82" r:id="rId162"/>
    <hyperlink xmlns:r="http://schemas.openxmlformats.org/officeDocument/2006/relationships" ref="H83" r:id="rId163"/>
    <hyperlink xmlns:r="http://schemas.openxmlformats.org/officeDocument/2006/relationships" ref="O83" r:id="rId164"/>
    <hyperlink xmlns:r="http://schemas.openxmlformats.org/officeDocument/2006/relationships" ref="H84" r:id="rId165"/>
    <hyperlink xmlns:r="http://schemas.openxmlformats.org/officeDocument/2006/relationships" ref="O84" r:id="rId166"/>
    <hyperlink xmlns:r="http://schemas.openxmlformats.org/officeDocument/2006/relationships" ref="H85" r:id="rId167"/>
    <hyperlink xmlns:r="http://schemas.openxmlformats.org/officeDocument/2006/relationships" ref="O85" r:id="rId168"/>
    <hyperlink xmlns:r="http://schemas.openxmlformats.org/officeDocument/2006/relationships" ref="H86" r:id="rId169"/>
    <hyperlink xmlns:r="http://schemas.openxmlformats.org/officeDocument/2006/relationships" ref="O86" r:id="rId170"/>
    <hyperlink xmlns:r="http://schemas.openxmlformats.org/officeDocument/2006/relationships" ref="H87" r:id="rId171"/>
    <hyperlink xmlns:r="http://schemas.openxmlformats.org/officeDocument/2006/relationships" ref="O87" r:id="rId172"/>
    <hyperlink xmlns:r="http://schemas.openxmlformats.org/officeDocument/2006/relationships" ref="H88" r:id="rId173"/>
    <hyperlink xmlns:r="http://schemas.openxmlformats.org/officeDocument/2006/relationships" ref="O88" r:id="rId174"/>
    <hyperlink xmlns:r="http://schemas.openxmlformats.org/officeDocument/2006/relationships" ref="H89" r:id="rId175"/>
    <hyperlink xmlns:r="http://schemas.openxmlformats.org/officeDocument/2006/relationships" ref="O89" r:id="rId176"/>
    <hyperlink xmlns:r="http://schemas.openxmlformats.org/officeDocument/2006/relationships" ref="H90" r:id="rId177"/>
    <hyperlink xmlns:r="http://schemas.openxmlformats.org/officeDocument/2006/relationships" ref="O90" r:id="rId178"/>
    <hyperlink xmlns:r="http://schemas.openxmlformats.org/officeDocument/2006/relationships" ref="H91" r:id="rId179"/>
    <hyperlink xmlns:r="http://schemas.openxmlformats.org/officeDocument/2006/relationships" ref="O91" r:id="rId180"/>
    <hyperlink xmlns:r="http://schemas.openxmlformats.org/officeDocument/2006/relationships" ref="H92" r:id="rId181"/>
    <hyperlink xmlns:r="http://schemas.openxmlformats.org/officeDocument/2006/relationships" ref="O92" r:id="rId18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</cols>
  <sheetData>
    <row r="1">
      <c r="A1" s="6" t="inlineStr">
        <is>
          <t>Funil Downway</t>
        </is>
      </c>
    </row>
    <row r="3">
      <c r="A3" s="7" t="inlineStr">
        <is>
          <t>Status</t>
        </is>
      </c>
      <c r="B3" s="7" t="inlineStr">
        <is>
          <t>Qtd</t>
        </is>
      </c>
    </row>
    <row r="4">
      <c r="A4" t="inlineStr">
        <is>
          <t>Novo</t>
        </is>
      </c>
      <c r="B4">
        <f>COUNTIF(Leads!R:R,"Novo")</f>
        <v/>
      </c>
    </row>
    <row r="5">
      <c r="A5" t="inlineStr">
        <is>
          <t>Perfil conferido</t>
        </is>
      </c>
      <c r="B5">
        <f>COUNTIF(Leads!R:R,"Perfil conferido")</f>
        <v/>
      </c>
    </row>
    <row r="6">
      <c r="A6" t="inlineStr">
        <is>
          <t>Contatado</t>
        </is>
      </c>
      <c r="B6">
        <f>COUNTIF(Leads!R:R,"Contatado")</f>
        <v/>
      </c>
    </row>
    <row r="7">
      <c r="A7" t="inlineStr">
        <is>
          <t>Follow-up enviado</t>
        </is>
      </c>
      <c r="B7">
        <f>COUNTIF(Leads!R:R,"Follow-up enviado")</f>
        <v/>
      </c>
    </row>
    <row r="8">
      <c r="A8" t="inlineStr">
        <is>
          <t>Respondeu</t>
        </is>
      </c>
      <c r="B8">
        <f>COUNTIF(Leads!R:R,"Respondeu")</f>
        <v/>
      </c>
    </row>
    <row r="9">
      <c r="A9" t="inlineStr">
        <is>
          <t>Reunião</t>
        </is>
      </c>
      <c r="B9">
        <f>COUNTIF(Leads!R:R,"Reunião")</f>
        <v/>
      </c>
    </row>
    <row r="10">
      <c r="A10" t="inlineStr">
        <is>
          <t>Proposta</t>
        </is>
      </c>
      <c r="B10">
        <f>COUNTIF(Leads!R:R,"Proposta")</f>
        <v/>
      </c>
    </row>
    <row r="11">
      <c r="A11" t="inlineStr">
        <is>
          <t>Fechado</t>
        </is>
      </c>
      <c r="B11">
        <f>COUNTIF(Leads!R:R,"Fechado")</f>
        <v/>
      </c>
    </row>
    <row r="12">
      <c r="A12" t="inlineStr">
        <is>
          <t>Perdido</t>
        </is>
      </c>
      <c r="B12">
        <f>COUNTIF(Leads!R:R,"Perdido")</f>
        <v/>
      </c>
    </row>
    <row r="13">
      <c r="A13" t="inlineStr">
        <is>
          <t>Descartado</t>
        </is>
      </c>
      <c r="B13">
        <f>COUNTIF(Leads!R:R,"Descartado")</f>
        <v/>
      </c>
    </row>
    <row r="14">
      <c r="A14" t="inlineStr">
        <is>
          <t>Total</t>
        </is>
      </c>
      <c r="B14">
        <f>COUNTA(Leads!G2:G92)</f>
        <v/>
      </c>
    </row>
    <row r="15">
      <c r="A15" t="inlineStr">
        <is>
          <t>Taxa de resposta</t>
        </is>
      </c>
      <c r="B15" s="8">
        <f>IFERROR((B8+B9+B10+B11)/(B6+B7+B8+B9+B10+B11+B12),0)</f>
        <v/>
      </c>
    </row>
    <row r="16">
      <c r="A16" t="inlineStr">
        <is>
          <t>Faturamento (fechados × preço)</t>
        </is>
      </c>
      <c r="B16" s="9">
        <f>B11*997</f>
        <v/>
      </c>
    </row>
    <row r="18">
      <c r="A18" s="7" t="inlineStr">
        <is>
          <t>Categoria</t>
        </is>
      </c>
      <c r="B18" s="7" t="inlineStr">
        <is>
          <t>Leads</t>
        </is>
      </c>
      <c r="C18" s="7" t="inlineStr">
        <is>
          <t>Prioridade A</t>
        </is>
      </c>
      <c r="D18" s="7" t="inlineStr">
        <is>
          <t>Fechados</t>
        </is>
      </c>
    </row>
    <row r="19">
      <c r="A19" t="inlineStr">
        <is>
          <t>Advogado</t>
        </is>
      </c>
      <c r="B19">
        <f>COUNTIF(Leads!E:E,"Advogado")</f>
        <v/>
      </c>
      <c r="C19">
        <f>COUNTIFS(Leads!E:E,"Advogado",Leads!B:B,"A")</f>
        <v/>
      </c>
      <c r="D19">
        <f>COUNTIFS(Leads!E:E,"Advogado",Leads!R:R,"Fechado")</f>
        <v/>
      </c>
    </row>
    <row r="20">
      <c r="A20" t="inlineStr">
        <is>
          <t>Barbearia</t>
        </is>
      </c>
      <c r="B20">
        <f>COUNTIF(Leads!E:E,"Barbearia")</f>
        <v/>
      </c>
      <c r="C20">
        <f>COUNTIFS(Leads!E:E,"Barbearia",Leads!B:B,"A")</f>
        <v/>
      </c>
      <c r="D20">
        <f>COUNTIFS(Leads!E:E,"Barbearia",Leads!R:R,"Fechado")</f>
        <v/>
      </c>
    </row>
    <row r="21">
      <c r="A21" t="inlineStr">
        <is>
          <t>Clínica de estética</t>
        </is>
      </c>
      <c r="B21">
        <f>COUNTIF(Leads!E:E,"Clínica de estética")</f>
        <v/>
      </c>
      <c r="C21">
        <f>COUNTIFS(Leads!E:E,"Clínica de estética",Leads!B:B,"A")</f>
        <v/>
      </c>
      <c r="D21">
        <f>COUNTIFS(Leads!E:E,"Clínica de estética",Leads!R:R,"Fechado")</f>
        <v/>
      </c>
    </row>
    <row r="22">
      <c r="A22" t="inlineStr">
        <is>
          <t>Confeitaria</t>
        </is>
      </c>
      <c r="B22">
        <f>COUNTIF(Leads!E:E,"Confeitaria")</f>
        <v/>
      </c>
      <c r="C22">
        <f>COUNTIFS(Leads!E:E,"Confeitaria",Leads!B:B,"A")</f>
        <v/>
      </c>
      <c r="D22">
        <f>COUNTIFS(Leads!E:E,"Confeitaria",Leads!R:R,"Fechado")</f>
        <v/>
      </c>
    </row>
    <row r="23">
      <c r="A23" t="inlineStr">
        <is>
          <t>Cílios/sobrancelhas</t>
        </is>
      </c>
      <c r="B23">
        <f>COUNTIF(Leads!E:E,"Cílios/sobrancelhas")</f>
        <v/>
      </c>
      <c r="C23">
        <f>COUNTIFS(Leads!E:E,"Cílios/sobrancelhas",Leads!B:B,"A")</f>
        <v/>
      </c>
      <c r="D23">
        <f>COUNTIFS(Leads!E:E,"Cílios/sobrancelhas",Leads!R:R,"Fechado")</f>
        <v/>
      </c>
    </row>
    <row r="24">
      <c r="A24" t="inlineStr">
        <is>
          <t>Dentista</t>
        </is>
      </c>
      <c r="B24">
        <f>COUNTIF(Leads!E:E,"Dentista")</f>
        <v/>
      </c>
      <c r="C24">
        <f>COUNTIFS(Leads!E:E,"Dentista",Leads!B:B,"A")</f>
        <v/>
      </c>
      <c r="D24">
        <f>COUNTIFS(Leads!E:E,"Dentista",Leads!R:R,"Fechado")</f>
        <v/>
      </c>
    </row>
    <row r="25">
      <c r="A25" t="inlineStr">
        <is>
          <t>Estética automotiva</t>
        </is>
      </c>
      <c r="B25">
        <f>COUNTIF(Leads!E:E,"Estética automotiva")</f>
        <v/>
      </c>
      <c r="C25">
        <f>COUNTIFS(Leads!E:E,"Estética automotiva",Leads!B:B,"A")</f>
        <v/>
      </c>
      <c r="D25">
        <f>COUNTIFS(Leads!E:E,"Estética automotiva",Leads!R:R,"Fechado")</f>
        <v/>
      </c>
    </row>
    <row r="26">
      <c r="A26" t="inlineStr">
        <is>
          <t>Hamburgueria</t>
        </is>
      </c>
      <c r="B26">
        <f>COUNTIF(Leads!E:E,"Hamburgueria")</f>
        <v/>
      </c>
      <c r="C26">
        <f>COUNTIFS(Leads!E:E,"Hamburgueria",Leads!B:B,"A")</f>
        <v/>
      </c>
      <c r="D26">
        <f>COUNTIFS(Leads!E:E,"Hamburgueria",Leads!R:R,"Fechado")</f>
        <v/>
      </c>
    </row>
    <row r="27">
      <c r="A27" t="inlineStr">
        <is>
          <t>Marcenaria</t>
        </is>
      </c>
      <c r="B27">
        <f>COUNTIF(Leads!E:E,"Marcenaria")</f>
        <v/>
      </c>
      <c r="C27">
        <f>COUNTIFS(Leads!E:E,"Marcenaria",Leads!B:B,"A")</f>
        <v/>
      </c>
      <c r="D27">
        <f>COUNTIFS(Leads!E:E,"Marcenaria",Leads!R:R,"Fechado")</f>
        <v/>
      </c>
    </row>
    <row r="28">
      <c r="A28" t="inlineStr">
        <is>
          <t>Médico</t>
        </is>
      </c>
      <c r="B28">
        <f>COUNTIF(Leads!E:E,"Médico")</f>
        <v/>
      </c>
      <c r="C28">
        <f>COUNTIFS(Leads!E:E,"Médico",Leads!B:B,"A")</f>
        <v/>
      </c>
      <c r="D28">
        <f>COUNTIFS(Leads!E:E,"Médico",Leads!R:R,"Fechado")</f>
        <v/>
      </c>
    </row>
    <row r="29">
      <c r="A29" t="inlineStr">
        <is>
          <t>Nutricionista</t>
        </is>
      </c>
      <c r="B29">
        <f>COUNTIF(Leads!E:E,"Nutricionista")</f>
        <v/>
      </c>
      <c r="C29">
        <f>COUNTIFS(Leads!E:E,"Nutricionista",Leads!B:B,"A")</f>
        <v/>
      </c>
      <c r="D29">
        <f>COUNTIFS(Leads!E:E,"Nutricionista",Leads!R:R,"Fechado")</f>
        <v/>
      </c>
    </row>
    <row r="30">
      <c r="A30" t="inlineStr">
        <is>
          <t>Pet shop</t>
        </is>
      </c>
      <c r="B30">
        <f>COUNTIF(Leads!E:E,"Pet shop")</f>
        <v/>
      </c>
      <c r="C30">
        <f>COUNTIFS(Leads!E:E,"Pet shop",Leads!B:B,"A")</f>
        <v/>
      </c>
      <c r="D30">
        <f>COUNTIFS(Leads!E:E,"Pet shop",Leads!R:R,"Fechado")</f>
        <v/>
      </c>
    </row>
    <row r="31">
      <c r="A31" t="inlineStr">
        <is>
          <t>Pilates/funcional</t>
        </is>
      </c>
      <c r="B31">
        <f>COUNTIF(Leads!E:E,"Pilates/funcional")</f>
        <v/>
      </c>
      <c r="C31">
        <f>COUNTIFS(Leads!E:E,"Pilates/funcional",Leads!B:B,"A")</f>
        <v/>
      </c>
      <c r="D31">
        <f>COUNTIFS(Leads!E:E,"Pilates/funcional",Leads!R:R,"Fechado")</f>
        <v/>
      </c>
    </row>
    <row r="32">
      <c r="A32" t="inlineStr">
        <is>
          <t>Pizzaria</t>
        </is>
      </c>
      <c r="B32">
        <f>COUNTIF(Leads!E:E,"Pizzaria")</f>
        <v/>
      </c>
      <c r="C32">
        <f>COUNTIFS(Leads!E:E,"Pizzaria",Leads!B:B,"A")</f>
        <v/>
      </c>
      <c r="D32">
        <f>COUNTIFS(Leads!E:E,"Pizzaria",Leads!R:R,"Fechado")</f>
        <v/>
      </c>
    </row>
    <row r="33">
      <c r="A33" t="inlineStr">
        <is>
          <t>Psicólogo</t>
        </is>
      </c>
      <c r="B33">
        <f>COUNTIF(Leads!E:E,"Psicólogo")</f>
        <v/>
      </c>
      <c r="C33">
        <f>COUNTIFS(Leads!E:E,"Psicólogo",Leads!B:B,"A")</f>
        <v/>
      </c>
      <c r="D33">
        <f>COUNTIFS(Leads!E:E,"Psicólogo",Leads!R:R,"Fechado")</f>
        <v/>
      </c>
    </row>
    <row r="34">
      <c r="A34" t="inlineStr">
        <is>
          <t>Quiropraxia/Fisio</t>
        </is>
      </c>
      <c r="B34">
        <f>COUNTIF(Leads!E:E,"Quiropraxia/Fisio")</f>
        <v/>
      </c>
      <c r="C34">
        <f>COUNTIFS(Leads!E:E,"Quiropraxia/Fisio",Leads!B:B,"A")</f>
        <v/>
      </c>
      <c r="D34">
        <f>COUNTIFS(Leads!E:E,"Quiropraxia/Fisio",Leads!R:R,"Fechado")</f>
        <v/>
      </c>
    </row>
    <row r="35">
      <c r="A35" t="inlineStr">
        <is>
          <t>Salão de beleza</t>
        </is>
      </c>
      <c r="B35">
        <f>COUNTIF(Leads!E:E,"Salão de beleza")</f>
        <v/>
      </c>
      <c r="C35">
        <f>COUNTIFS(Leads!E:E,"Salão de beleza",Leads!B:B,"A")</f>
        <v/>
      </c>
      <c r="D35">
        <f>COUNTIFS(Leads!E:E,"Salão de beleza",Leads!R:R,"Fechado")</f>
        <v/>
      </c>
    </row>
    <row r="36">
      <c r="A36" t="inlineStr">
        <is>
          <t>Unhas</t>
        </is>
      </c>
      <c r="B36">
        <f>COUNTIF(Leads!E:E,"Unhas")</f>
        <v/>
      </c>
      <c r="C36">
        <f>COUNTIFS(Leads!E:E,"Unhas",Leads!B:B,"A")</f>
        <v/>
      </c>
      <c r="D36">
        <f>COUNTIFS(Leads!E:E,"Unhas",Leads!R:R,"Fechado")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0" t="inlineStr">
        <is>
          <t>COMO USAR ESTA PLANILHA</t>
        </is>
      </c>
    </row>
    <row r="2">
      <c r="A2" s="11" t="inlineStr"/>
    </row>
    <row r="3">
      <c r="A3" s="11" t="inlineStr">
        <is>
          <t>1. Comece pelos leads de maior Score (já estão no topo). Score vai de 0 a 10.</t>
        </is>
      </c>
    </row>
    <row r="4">
      <c r="A4" s="11" t="inlineStr">
        <is>
          <t>2. Abra o Instagram do lead (coluna H). Confira: o link da bio NÃO é um site próprio e o último post tem menos de 15 dias. Se não passar, marque "Descartado".</t>
        </is>
      </c>
    </row>
    <row r="5">
      <c r="A5" s="11" t="inlineStr">
        <is>
          <t>3. Se passou, marque "Perfil conferido" e rode: node generator/instagram.mjs &lt;slug&gt; &amp;&amp; npm run build (puxa logo e fotos reais).</t>
        </is>
      </c>
    </row>
    <row r="6">
      <c r="A6" s="11" t="inlineStr">
        <is>
          <t>4. Suba dist/demo/ para downway.com.br/demo/ e abra a prévia (coluna O) no celular para conferir.</t>
        </is>
      </c>
    </row>
    <row r="7">
      <c r="A7" s="11" t="inlineStr">
        <is>
          <t>5. Copie a Mensagem 1 (coluna P), troque [SEU NOME] e mande por DM. Marque "Contatado" e a data.</t>
        </is>
      </c>
    </row>
    <row r="8">
      <c r="A8" s="11" t="inlineStr">
        <is>
          <t>6. Dois dias sem resposta: mande o Follow-up (coluna Q) e marque "Follow-up enviado".</t>
        </is>
      </c>
    </row>
    <row r="9">
      <c r="A9" s="11" t="inlineStr">
        <is>
          <t>7. Meta: 10 abordagens por dia. Acompanhe a taxa de resposta na aba Resumo.</t>
        </is>
      </c>
    </row>
    <row r="10">
      <c r="A10" s="11" t="inlineStr"/>
    </row>
    <row r="11">
      <c r="A11" s="10" t="inlineStr">
        <is>
          <t>REGRAS DE OURO</t>
        </is>
      </c>
    </row>
    <row r="12">
      <c r="A12" s="11" t="inlineStr">
        <is>
          <t>• Mande as DMs à mão, uma a uma. Ferramenta de disparo em massa faz o Instagram bloquear a conta.</t>
        </is>
      </c>
    </row>
    <row r="13">
      <c r="A13" s="11" t="inlineStr">
        <is>
          <t>• Advogados, médicos, psicólogos e nutricionistas: o site já sai sem preço, sem depoimento e sem promessa de resultado, com o registro visível. Isso é argumento de venda: "seu site já nasce dentro das regras do conselho".</t>
        </is>
      </c>
    </row>
    <row r="14">
      <c r="A14" s="11" t="inlineStr">
        <is>
          <t>• Quem disser não ou não responder em 15 dias: apague a prévia do servidor.</t>
        </is>
      </c>
    </row>
    <row r="15">
      <c r="A15" s="11" t="inlineStr">
        <is>
          <t>• Dados da pesquisa vêm de busca web (06/10/2026). Seguidores e detalhes podem ter mudado: confira no perfil.</t>
        </is>
      </c>
    </row>
    <row r="16">
      <c r="A16" s="11" t="inlineStr"/>
    </row>
    <row r="17">
      <c r="A17" s="10" t="inlineStr">
        <is>
          <t>RESPOSTAS PARA OBJEÇÕES</t>
        </is>
      </c>
    </row>
    <row r="18">
      <c r="A18" s="11" t="inlineStr">
        <is>
          <t>"Já tenho Instagram" → O Instagram fala com quem já te segue. O site é para quem ainda não te conhece e está pesquisando no Google agora.</t>
        </is>
      </c>
    </row>
    <row r="19">
      <c r="A19" s="11" t="inlineStr">
        <is>
          <t>"Está caro" → Dá menos de R$ 100 por mês no parcelado. Um cliente novo por mês já paga.</t>
        </is>
      </c>
    </row>
    <row r="20">
      <c r="A20" s="11" t="inlineStr">
        <is>
          <t>"Vou pensar" → Claro! O que faltou para decidir? Se for algo no site, eu ajusto agora.</t>
        </is>
      </c>
    </row>
    <row r="21">
      <c r="A21" s="11" t="inlineStr">
        <is>
          <t>"Meu conselho não deixa" → O site já segue as regras (registro visível, sem preço, sem promessa, sem depoimento). Posso te mostrar ponto por ponto.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2026-10-06T13:29:00Z</dcterms:created>
  <dcterms:modified xsi:type="dcterms:W3CDTF">2026-10-06T13:29:01Z</dcterms:modified>
</cp:coreProperties>
</file>